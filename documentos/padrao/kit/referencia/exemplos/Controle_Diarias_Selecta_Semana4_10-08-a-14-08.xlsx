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âmetros" sheetId="1" state="visible" r:id="rId1"/>
    <sheet xmlns:r="http://schemas.openxmlformats.org/officeDocument/2006/relationships" name="Segunda 10-08" sheetId="2" state="visible" r:id="rId2"/>
    <sheet xmlns:r="http://schemas.openxmlformats.org/officeDocument/2006/relationships" name="Terça 11-08" sheetId="3" state="visible" r:id="rId3"/>
    <sheet xmlns:r="http://schemas.openxmlformats.org/officeDocument/2006/relationships" name="Quarta 12-08" sheetId="4" state="visible" r:id="rId4"/>
    <sheet xmlns:r="http://schemas.openxmlformats.org/officeDocument/2006/relationships" name="Quinta 13-08" sheetId="5" state="visible" r:id="rId5"/>
    <sheet xmlns:r="http://schemas.openxmlformats.org/officeDocument/2006/relationships" name="Sexta 14-08" sheetId="6" state="visible" r:id="rId6"/>
    <sheet xmlns:r="http://schemas.openxmlformats.org/officeDocument/2006/relationships" name="Resumo Semanal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/YYYY"/>
    <numFmt numFmtId="166" formatCode="R$ #,##0.00;-R$ #,##0.00;&quot;-&quot;"/>
    <numFmt numFmtId="167" formatCode="0.0;-0.0;&quot;-&quot;"/>
    <numFmt numFmtId="168" formatCode="0;-0;&quot;-&quot;"/>
  </numFmts>
  <fonts count="1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9"/>
    </font>
    <font>
      <name val="Arial"/>
      <b val="1"/>
      <sz val="10"/>
    </font>
    <font>
      <name val="Arial"/>
      <color rgb="000000FF"/>
      <sz val="10"/>
    </font>
    <font>
      <name val="Arial"/>
      <b val="1"/>
      <color rgb="001F3864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404040"/>
      <sz val="9"/>
    </font>
    <font>
      <name val="Arial"/>
      <color rgb="00008000"/>
      <sz val="10"/>
    </font>
    <font>
      <name val="Arial"/>
      <b val="1"/>
      <sz val="11"/>
    </font>
    <font>
      <name val="Arial"/>
      <i val="1"/>
      <color rgb="00C00000"/>
      <sz val="9"/>
    </font>
    <font>
      <name val="Arial"/>
      <b val="1"/>
      <color rgb="001F3864"/>
      <sz val="14"/>
    </font>
    <font>
      <name val="Arial"/>
      <b val="1"/>
      <sz val="12"/>
    </font>
    <font>
      <name val="Arial"/>
      <i val="1"/>
      <color rgb="00404040"/>
      <sz val="9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1F3864"/>
      </patternFill>
    </fill>
    <fill>
      <patternFill patternType="solid">
        <fgColor rgb="00EDEDED"/>
      </patternFill>
    </fill>
    <fill>
      <patternFill patternType="solid">
        <fgColor rgb="00C6E0B4"/>
      </patternFill>
    </fill>
  </fills>
  <borders count="7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medium">
        <color rgb="001F3864"/>
      </left>
      <right style="medium">
        <color rgb="001F3864"/>
      </right>
      <top style="medium">
        <color rgb="001F3864"/>
      </top>
      <bottom style="medium">
        <color rgb="001F3864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5" fontId="4" fillId="2" borderId="0" pivotButton="0" quotePrefix="0" xfId="0"/>
    <xf numFmtId="0" fontId="0" fillId="0" borderId="0" applyAlignment="1" pivotButton="0" quotePrefix="0" xfId="0">
      <alignment horizontal="center"/>
    </xf>
    <xf numFmtId="0" fontId="5" fillId="3" borderId="0" pivotButton="0" quotePrefix="0" xfId="0"/>
    <xf numFmtId="0" fontId="6" fillId="4" borderId="1" applyAlignment="1" pivotButton="0" quotePrefix="0" xfId="0">
      <alignment horizontal="center" vertical="center" wrapText="1"/>
    </xf>
    <xf numFmtId="0" fontId="7" fillId="0" borderId="1" pivotButton="0" quotePrefix="0" xfId="0"/>
    <xf numFmtId="166" fontId="4" fillId="2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8" fillId="0" borderId="0" pivotButton="0" quotePrefix="0" xfId="0"/>
    <xf numFmtId="166" fontId="9" fillId="0" borderId="1" pivotButton="0" quotePrefix="0" xfId="0"/>
    <xf numFmtId="167" fontId="4" fillId="2" borderId="1" applyAlignment="1" pivotButton="0" quotePrefix="0" xfId="0">
      <alignment horizontal="center"/>
    </xf>
    <xf numFmtId="166" fontId="7" fillId="0" borderId="1" pivotButton="0" quotePrefix="0" xfId="0"/>
    <xf numFmtId="0" fontId="3" fillId="5" borderId="1" pivotButton="0" quotePrefix="0" xfId="0"/>
    <xf numFmtId="0" fontId="0" fillId="5" borderId="1" pivotButton="0" quotePrefix="0" xfId="0"/>
    <xf numFmtId="0" fontId="3" fillId="5" borderId="1" applyAlignment="1" pivotButton="0" quotePrefix="0" xfId="0">
      <alignment horizontal="right"/>
    </xf>
    <xf numFmtId="167" fontId="3" fillId="5" borderId="1" applyAlignment="1" pivotButton="0" quotePrefix="0" xfId="0">
      <alignment horizontal="center"/>
    </xf>
    <xf numFmtId="166" fontId="3" fillId="5" borderId="1" pivotButton="0" quotePrefix="0" xfId="0"/>
    <xf numFmtId="168" fontId="4" fillId="2" borderId="1" applyAlignment="1" pivotButton="0" quotePrefix="0" xfId="0">
      <alignment horizontal="center"/>
    </xf>
    <xf numFmtId="167" fontId="7" fillId="0" borderId="1" pivotButton="0" quotePrefix="0" xfId="0"/>
    <xf numFmtId="168" fontId="7" fillId="0" borderId="1" pivotButton="0" quotePrefix="0" xfId="0"/>
    <xf numFmtId="0" fontId="10" fillId="6" borderId="2" pivotButton="0" quotePrefix="0" xfId="0"/>
    <xf numFmtId="0" fontId="0" fillId="6" borderId="2" pivotButton="0" quotePrefix="0" xfId="0"/>
    <xf numFmtId="166" fontId="10" fillId="6" borderId="2" pivotButton="0" quotePrefix="0" xfId="0"/>
    <xf numFmtId="0" fontId="11" fillId="0" borderId="0" applyAlignment="1" pivotButton="0" quotePrefix="0" xfId="0">
      <alignment vertical="top" wrapText="1"/>
    </xf>
    <xf numFmtId="0" fontId="12" fillId="0" borderId="0" pivotButton="0" quotePrefix="0" xfId="0"/>
    <xf numFmtId="165" fontId="7" fillId="0" borderId="1" pivotButton="0" quotePrefix="0" xfId="0"/>
    <xf numFmtId="166" fontId="3" fillId="0" borderId="1" pivotButton="0" quotePrefix="0" xfId="0"/>
    <xf numFmtId="167" fontId="3" fillId="5" borderId="1" pivotButton="0" quotePrefix="0" xfId="0"/>
    <xf numFmtId="168" fontId="3" fillId="5" borderId="1" pivotButton="0" quotePrefix="0" xfId="0"/>
    <xf numFmtId="0" fontId="0" fillId="0" borderId="5" pivotButton="0" quotePrefix="0" xfId="0"/>
    <xf numFmtId="0" fontId="0" fillId="0" borderId="6" pivotButton="0" quotePrefix="0" xfId="0"/>
    <xf numFmtId="167" fontId="7" fillId="0" borderId="1" applyAlignment="1" pivotButton="0" quotePrefix="0" xfId="0">
      <alignment horizontal="center"/>
    </xf>
    <xf numFmtId="168" fontId="7" fillId="0" borderId="1" applyAlignment="1" pivotButton="0" quotePrefix="0" xfId="0">
      <alignment horizontal="center"/>
    </xf>
    <xf numFmtId="168" fontId="3" fillId="5" borderId="1" applyAlignment="1" pivotButton="0" quotePrefix="0" xfId="0">
      <alignment horizontal="center"/>
    </xf>
    <xf numFmtId="0" fontId="13" fillId="6" borderId="2" pivotButton="0" quotePrefix="0" xfId="0"/>
    <xf numFmtId="166" fontId="13" fillId="6" borderId="2" pivotButton="0" quotePrefix="0" xfId="0"/>
    <xf numFmtId="167" fontId="4" fillId="2" borderId="1" pivotButton="0" quotePrefix="0" xfId="0"/>
    <xf numFmtId="168" fontId="4" fillId="2" borderId="1" pivotButton="0" quotePrefix="0" xfId="0"/>
    <xf numFmtId="0" fontId="3" fillId="6" borderId="1" pivotButton="0" quotePrefix="0" xfId="0"/>
    <xf numFmtId="0" fontId="0" fillId="6" borderId="1" pivotButton="0" quotePrefix="0" xfId="0"/>
    <xf numFmtId="167" fontId="3" fillId="6" borderId="1" pivotButton="0" quotePrefix="0" xfId="0"/>
    <xf numFmtId="166" fontId="3" fillId="6" borderId="1" pivotButton="0" quotePrefix="0" xfId="0"/>
    <xf numFmtId="168" fontId="3" fillId="6" borderId="1" pivotButton="0" quotePrefix="0" xfId="0"/>
    <xf numFmtId="0" fontId="1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17" customWidth="1" min="3" max="3"/>
    <col width="40" customWidth="1" min="4" max="4"/>
    <col width="14" customWidth="1" min="5" max="5"/>
  </cols>
  <sheetData>
    <row r="1">
      <c r="A1" s="1" t="inlineStr">
        <is>
          <t>RV ENGENHARIA — CONTROLE DE DIÁRIAS E CUSTOS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3" t="inlineStr">
        <is>
          <t>Semana de referência</t>
        </is>
      </c>
      <c r="C4" s="4" t="n">
        <v>46244</v>
      </c>
      <c r="D4" s="5" t="inlineStr">
        <is>
          <t>a</t>
        </is>
      </c>
      <c r="E4" s="4" t="n">
        <v>46248</v>
      </c>
    </row>
    <row r="6">
      <c r="A6" s="6" t="inlineStr">
        <is>
          <t>EQUIPE E VALORES DE DIÁRIA</t>
        </is>
      </c>
    </row>
    <row r="7" ht="28" customHeight="1">
      <c r="A7" s="7" t="inlineStr">
        <is>
          <t>Funcionário</t>
        </is>
      </c>
      <c r="B7" s="7" t="inlineStr">
        <is>
          <t>Função</t>
        </is>
      </c>
      <c r="C7" s="7" t="inlineStr">
        <is>
          <t>Diária (R$)</t>
        </is>
      </c>
      <c r="D7" s="7" t="inlineStr">
        <is>
          <t>Situação</t>
        </is>
      </c>
    </row>
    <row r="8">
      <c r="A8" s="8" t="inlineStr">
        <is>
          <t>Thiago</t>
        </is>
      </c>
      <c r="B8" s="8" t="inlineStr">
        <is>
          <t>Pedreiro</t>
        </is>
      </c>
      <c r="C8" s="9" t="n">
        <v>200</v>
      </c>
      <c r="D8" s="10" t="inlineStr">
        <is>
          <t>Ativo</t>
        </is>
      </c>
    </row>
    <row r="9">
      <c r="A9" s="8" t="inlineStr">
        <is>
          <t>Wiliton</t>
        </is>
      </c>
      <c r="B9" s="8" t="inlineStr">
        <is>
          <t>Eletricista</t>
        </is>
      </c>
      <c r="C9" s="9" t="n">
        <v>200</v>
      </c>
      <c r="D9" s="10" t="inlineStr">
        <is>
          <t>Ativo</t>
        </is>
      </c>
    </row>
    <row r="10">
      <c r="A10" s="8" t="inlineStr">
        <is>
          <t>Rafael</t>
        </is>
      </c>
      <c r="B10" s="8" t="inlineStr">
        <is>
          <t>Eletricista</t>
        </is>
      </c>
      <c r="C10" s="9" t="n">
        <v>200</v>
      </c>
      <c r="D10" s="10" t="inlineStr">
        <is>
          <t>Ativo</t>
        </is>
      </c>
    </row>
    <row r="11">
      <c r="A11" s="8" t="inlineStr">
        <is>
          <t>Iago</t>
        </is>
      </c>
      <c r="B11" s="8" t="inlineStr">
        <is>
          <t>Servente</t>
        </is>
      </c>
      <c r="C11" s="9" t="n">
        <v>90</v>
      </c>
      <c r="D11" s="10" t="inlineStr">
        <is>
          <t>Ativo</t>
        </is>
      </c>
    </row>
    <row r="13">
      <c r="A13" s="6" t="inlineStr">
        <is>
          <t>ALIMENTAÇÃO — HISTÓRICO DE PREÇO DA QUENTINHA</t>
        </is>
      </c>
    </row>
    <row r="14" ht="28" customHeight="1">
      <c r="A14" s="7" t="inlineStr">
        <is>
          <t>Vigência</t>
        </is>
      </c>
      <c r="B14" s="7" t="inlineStr"/>
      <c r="C14" s="7" t="inlineStr">
        <is>
          <t>Valor unitário (R$)</t>
        </is>
      </c>
      <c r="D14" s="7" t="inlineStr">
        <is>
          <t>Observação</t>
        </is>
      </c>
    </row>
    <row r="15">
      <c r="A15" s="8" t="inlineStr">
        <is>
          <t>De 20/07 a 28/07</t>
        </is>
      </c>
      <c r="B15" s="11" t="n"/>
      <c r="C15" s="9" t="n">
        <v>22</v>
      </c>
      <c r="D15" s="10" t="inlineStr"/>
    </row>
    <row r="16">
      <c r="A16" s="8" t="inlineStr">
        <is>
          <t>De 29/07 a 03/08</t>
        </is>
      </c>
      <c r="B16" s="11" t="n"/>
      <c r="C16" s="9" t="n">
        <v>15</v>
      </c>
      <c r="D16" s="10" t="inlineStr"/>
    </row>
    <row r="17">
      <c r="A17" s="8" t="inlineStr">
        <is>
          <t>Dia 04/08</t>
        </is>
      </c>
      <c r="B17" s="11" t="n"/>
      <c r="C17" s="9" t="n">
        <v>22</v>
      </c>
      <c r="D17" s="10" t="inlineStr"/>
    </row>
    <row r="18">
      <c r="A18" s="8" t="inlineStr">
        <is>
          <t>Dia 05/08</t>
        </is>
      </c>
      <c r="B18" s="11" t="n"/>
      <c r="C18" s="9" t="n">
        <v>15</v>
      </c>
      <c r="D18" s="10" t="inlineStr"/>
    </row>
    <row r="19">
      <c r="A19" s="8" t="inlineStr">
        <is>
          <t>De 06/08 a 13/08</t>
        </is>
      </c>
      <c r="B19" s="11" t="n"/>
      <c r="C19" s="9" t="n">
        <v>18</v>
      </c>
      <c r="D19" s="10" t="inlineStr"/>
    </row>
    <row r="20">
      <c r="A20" s="8" t="inlineStr">
        <is>
          <t>Dia 14/08</t>
        </is>
      </c>
      <c r="B20" s="11" t="n"/>
      <c r="C20" s="9" t="n">
        <v>22</v>
      </c>
      <c r="D20" s="10" t="inlineStr">
        <is>
          <t>Valor corrente</t>
        </is>
      </c>
    </row>
    <row r="22">
      <c r="A22" s="6" t="inlineStr">
        <is>
          <t>COMO USAR</t>
        </is>
      </c>
    </row>
    <row r="23">
      <c r="A23" s="12" t="inlineStr">
        <is>
          <t>Células amarelas com texto azul são de preenchimento. As demais são fórmulas — não digite por cima.</t>
        </is>
      </c>
    </row>
    <row r="24">
      <c r="A24" s="12" t="inlineStr">
        <is>
          <t>Nas abas de dia, coluna 'Presença': 1 = diária inteira · 0,5 = meia diária · vazio = não trabalhou.</t>
        </is>
      </c>
    </row>
    <row r="25">
      <c r="A25" s="12" t="inlineStr">
        <is>
          <t>O valor da quentinha é lançado DENTRO de cada aba de dia — cada data guarda o preço que valeu naquele dia.</t>
        </is>
      </c>
    </row>
    <row r="26">
      <c r="A26" s="12" t="inlineStr">
        <is>
          <t>A quantidade de quentinhas é livre: pode ser maior que o número de presentes, quando houver unidade adicional.</t>
        </is>
      </c>
    </row>
    <row r="27">
      <c r="A27" s="12" t="inlineStr">
        <is>
          <t>Outros consumos do dia (gelo, entrega de quentinha) entram como linhas próprias na seção 2 de cada aba de dia.</t>
        </is>
      </c>
    </row>
    <row r="28">
      <c r="A28" s="12" t="inlineStr">
        <is>
          <t>A aba 'Resumo Semanal' consolida os dias, o gasto por funcionário, as quentinhas por valor unitário e o acumulado da obra.</t>
        </is>
      </c>
    </row>
    <row r="29">
      <c r="A29" s="12" t="inlineStr">
        <is>
          <t>Aparecem aqui apenas os funcionários que tiveram presença nesta semana.</t>
        </is>
      </c>
    </row>
  </sheetData>
  <mergeCells count="9">
    <mergeCell ref="A20:B20"/>
    <mergeCell ref="A16:B16"/>
    <mergeCell ref="A15:B15"/>
    <mergeCell ref="A6:D6"/>
    <mergeCell ref="A22:D22"/>
    <mergeCell ref="A19:B19"/>
    <mergeCell ref="A17:B17"/>
    <mergeCell ref="A18:B18"/>
    <mergeCell ref="A13:D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1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SEGUNDA-FEIRA — 10/08/2026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>
        <v>1</v>
      </c>
      <c r="E7" s="15">
        <f>C7*D7</f>
        <v/>
      </c>
    </row>
    <row r="8">
      <c r="A8" s="8" t="inlineStr">
        <is>
          <t>Rafael</t>
        </is>
      </c>
      <c r="B8" s="8" t="inlineStr">
        <is>
          <t>Eletricista</t>
        </is>
      </c>
      <c r="C8" s="13">
        <f>'Parâmetros'!$C$10</f>
        <v/>
      </c>
      <c r="D8" s="14" t="n"/>
      <c r="E8" s="15">
        <f>C8*D8</f>
        <v/>
      </c>
    </row>
    <row r="9">
      <c r="A9" s="8" t="inlineStr">
        <is>
          <t>Iago</t>
        </is>
      </c>
      <c r="B9" s="8" t="inlineStr">
        <is>
          <t>Servente</t>
        </is>
      </c>
      <c r="C9" s="13">
        <f>'Parâmetros'!$C$11</f>
        <v/>
      </c>
      <c r="D9" s="14" t="n"/>
      <c r="E9" s="15">
        <f>C9*D9</f>
        <v/>
      </c>
    </row>
    <row r="10">
      <c r="A10" s="16" t="inlineStr">
        <is>
          <t>SUBTOTAL — MÃO DE OBRA</t>
        </is>
      </c>
      <c r="B10" s="17" t="n"/>
      <c r="C10" s="18" t="inlineStr">
        <is>
          <t>Diárias:</t>
        </is>
      </c>
      <c r="D10" s="19">
        <f>SUM(D6:D9)</f>
        <v/>
      </c>
      <c r="E10" s="20">
        <f>SUM(E6:E9)</f>
        <v/>
      </c>
    </row>
    <row r="12">
      <c r="A12" s="6" t="inlineStr">
        <is>
          <t>2. ALIMENTAÇÃO E OUTROS CONSUMOS DO DIA</t>
        </is>
      </c>
    </row>
    <row r="13" ht="26" customHeight="1">
      <c r="A13" s="7" t="inlineStr">
        <is>
          <t>Descrição</t>
        </is>
      </c>
      <c r="B13" s="7" t="inlineStr"/>
      <c r="C13" s="7" t="inlineStr">
        <is>
          <t>Valor unitário (R$)</t>
        </is>
      </c>
      <c r="D13" s="7" t="inlineStr">
        <is>
          <t>Quantidade</t>
        </is>
      </c>
      <c r="E13" s="7" t="inlineStr">
        <is>
          <t>Valor Total (R$)</t>
        </is>
      </c>
    </row>
    <row r="14">
      <c r="A14" s="8" t="inlineStr">
        <is>
          <t>Quentinhas fornecidas</t>
        </is>
      </c>
      <c r="B14" s="11" t="n"/>
      <c r="C14" s="9" t="n">
        <v>18</v>
      </c>
      <c r="D14" s="21" t="n">
        <v>2</v>
      </c>
      <c r="E14" s="15">
        <f>C14*D14</f>
        <v/>
      </c>
    </row>
    <row r="16">
      <c r="A16" s="6" t="inlineStr">
        <is>
          <t>3. RESUMO DO DIA — SEGUNDA-FEIRA 10/08</t>
        </is>
      </c>
    </row>
    <row r="17">
      <c r="A17" s="8" t="inlineStr">
        <is>
          <t>Total de diárias trabalhadas</t>
        </is>
      </c>
      <c r="B17" s="11" t="n"/>
      <c r="C17" s="11" t="n"/>
      <c r="D17" s="11" t="n"/>
      <c r="E17" s="22">
        <f>D10</f>
        <v/>
      </c>
    </row>
    <row r="18">
      <c r="A18" s="8" t="inlineStr">
        <is>
          <t>Quentinhas fornecidas (un.)</t>
        </is>
      </c>
      <c r="B18" s="11" t="n"/>
      <c r="C18" s="11" t="n"/>
      <c r="D18" s="11" t="n"/>
      <c r="E18" s="23">
        <f>D14</f>
        <v/>
      </c>
    </row>
    <row r="19">
      <c r="A19" s="8" t="inlineStr">
        <is>
          <t>Custo de mão de obra</t>
        </is>
      </c>
      <c r="B19" s="11" t="n"/>
      <c r="C19" s="11" t="n"/>
      <c r="D19" s="11" t="n"/>
      <c r="E19" s="15">
        <f>E10</f>
        <v/>
      </c>
    </row>
    <row r="20">
      <c r="A20" s="8" t="inlineStr">
        <is>
          <t>Custo de alimentação</t>
        </is>
      </c>
      <c r="B20" s="11" t="n"/>
      <c r="C20" s="11" t="n"/>
      <c r="D20" s="11" t="n"/>
      <c r="E20" s="15">
        <f>E14</f>
        <v/>
      </c>
    </row>
    <row r="21">
      <c r="A21" s="24" t="inlineStr">
        <is>
          <t>TOTAL DO DIA</t>
        </is>
      </c>
      <c r="B21" s="25" t="n"/>
      <c r="C21" s="25" t="n"/>
      <c r="D21" s="25" t="n"/>
      <c r="E21" s="26">
        <f>E19+E20</f>
        <v/>
      </c>
    </row>
  </sheetData>
  <mergeCells count="12">
    <mergeCell ref="A17:D17"/>
    <mergeCell ref="A12:E12"/>
    <mergeCell ref="A4:E4"/>
    <mergeCell ref="A18:D18"/>
    <mergeCell ref="A2:E2"/>
    <mergeCell ref="A16:E16"/>
    <mergeCell ref="A20:D20"/>
    <mergeCell ref="A10:B10"/>
    <mergeCell ref="A21:D21"/>
    <mergeCell ref="A1:E1"/>
    <mergeCell ref="A14:B14"/>
    <mergeCell ref="A19:D19"/>
  </mergeCells>
  <pageMargins left="0.75" right="0.75" top="1" bottom="1" header="0.5" footer="0.5"/>
  <pageSetup orientation="portrait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TERÇA-FEIRA — 11/08/2026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>
        <v>1</v>
      </c>
      <c r="E7" s="15">
        <f>C7*D7</f>
        <v/>
      </c>
    </row>
    <row r="8">
      <c r="A8" s="8" t="inlineStr">
        <is>
          <t>Rafael</t>
        </is>
      </c>
      <c r="B8" s="8" t="inlineStr">
        <is>
          <t>Eletricista</t>
        </is>
      </c>
      <c r="C8" s="13">
        <f>'Parâmetros'!$C$10</f>
        <v/>
      </c>
      <c r="D8" s="14" t="n">
        <v>1</v>
      </c>
      <c r="E8" s="15">
        <f>C8*D8</f>
        <v/>
      </c>
    </row>
    <row r="9">
      <c r="A9" s="8" t="inlineStr">
        <is>
          <t>Iago</t>
        </is>
      </c>
      <c r="B9" s="8" t="inlineStr">
        <is>
          <t>Servente</t>
        </is>
      </c>
      <c r="C9" s="13">
        <f>'Parâmetros'!$C$11</f>
        <v/>
      </c>
      <c r="D9" s="14" t="n"/>
      <c r="E9" s="15">
        <f>C9*D9</f>
        <v/>
      </c>
    </row>
    <row r="10">
      <c r="A10" s="16" t="inlineStr">
        <is>
          <t>SUBTOTAL — MÃO DE OBRA</t>
        </is>
      </c>
      <c r="B10" s="17" t="n"/>
      <c r="C10" s="18" t="inlineStr">
        <is>
          <t>Diárias:</t>
        </is>
      </c>
      <c r="D10" s="19">
        <f>SUM(D6:D9)</f>
        <v/>
      </c>
      <c r="E10" s="20">
        <f>SUM(E6:E9)</f>
        <v/>
      </c>
    </row>
    <row r="12">
      <c r="A12" s="6" t="inlineStr">
        <is>
          <t>2. ALIMENTAÇÃO E OUTROS CONSUMOS DO DIA</t>
        </is>
      </c>
    </row>
    <row r="13" ht="26" customHeight="1">
      <c r="A13" s="7" t="inlineStr">
        <is>
          <t>Descrição</t>
        </is>
      </c>
      <c r="B13" s="7" t="inlineStr"/>
      <c r="C13" s="7" t="inlineStr">
        <is>
          <t>Valor unitário (R$)</t>
        </is>
      </c>
      <c r="D13" s="7" t="inlineStr">
        <is>
          <t>Quantidade</t>
        </is>
      </c>
      <c r="E13" s="7" t="inlineStr">
        <is>
          <t>Valor Total (R$)</t>
        </is>
      </c>
    </row>
    <row r="14">
      <c r="A14" s="8" t="inlineStr">
        <is>
          <t>Quentinhas fornecidas</t>
        </is>
      </c>
      <c r="B14" s="11" t="n"/>
      <c r="C14" s="9" t="n">
        <v>18</v>
      </c>
      <c r="D14" s="21" t="n">
        <v>4</v>
      </c>
      <c r="E14" s="15">
        <f>C14*D14</f>
        <v/>
      </c>
    </row>
    <row r="16">
      <c r="A16" s="6" t="inlineStr">
        <is>
          <t>3. RESUMO DO DIA — TERÇA-FEIRA 11/08</t>
        </is>
      </c>
    </row>
    <row r="17">
      <c r="A17" s="8" t="inlineStr">
        <is>
          <t>Total de diárias trabalhadas</t>
        </is>
      </c>
      <c r="B17" s="11" t="n"/>
      <c r="C17" s="11" t="n"/>
      <c r="D17" s="11" t="n"/>
      <c r="E17" s="22">
        <f>D10</f>
        <v/>
      </c>
    </row>
    <row r="18">
      <c r="A18" s="8" t="inlineStr">
        <is>
          <t>Quentinhas fornecidas (un.)</t>
        </is>
      </c>
      <c r="B18" s="11" t="n"/>
      <c r="C18" s="11" t="n"/>
      <c r="D18" s="11" t="n"/>
      <c r="E18" s="23">
        <f>D14</f>
        <v/>
      </c>
    </row>
    <row r="19">
      <c r="A19" s="8" t="inlineStr">
        <is>
          <t>Custo de mão de obra</t>
        </is>
      </c>
      <c r="B19" s="11" t="n"/>
      <c r="C19" s="11" t="n"/>
      <c r="D19" s="11" t="n"/>
      <c r="E19" s="15">
        <f>E10</f>
        <v/>
      </c>
    </row>
    <row r="20">
      <c r="A20" s="8" t="inlineStr">
        <is>
          <t>Custo de alimentação</t>
        </is>
      </c>
      <c r="B20" s="11" t="n"/>
      <c r="C20" s="11" t="n"/>
      <c r="D20" s="11" t="n"/>
      <c r="E20" s="15">
        <f>E14</f>
        <v/>
      </c>
    </row>
    <row r="21">
      <c r="A21" s="24" t="inlineStr">
        <is>
          <t>TOTAL DO DIA</t>
        </is>
      </c>
      <c r="B21" s="25" t="n"/>
      <c r="C21" s="25" t="n"/>
      <c r="D21" s="25" t="n"/>
      <c r="E21" s="26">
        <f>E19+E20</f>
        <v/>
      </c>
    </row>
    <row r="23">
      <c r="A23" s="27" t="inlineStr">
        <is>
          <t>Observação: Rafael (eletricista, R$ 200,00) entra como reforço. 4 quentinhas para 3 funcionários: 1 unidade para o responsável pela obra</t>
        </is>
      </c>
    </row>
    <row r="24"/>
  </sheetData>
  <mergeCells count="13">
    <mergeCell ref="A17:D17"/>
    <mergeCell ref="A12:E12"/>
    <mergeCell ref="A4:E4"/>
    <mergeCell ref="A18:D18"/>
    <mergeCell ref="A2:E2"/>
    <mergeCell ref="A16:E16"/>
    <mergeCell ref="A23:E24"/>
    <mergeCell ref="A20:D20"/>
    <mergeCell ref="A10:B10"/>
    <mergeCell ref="A21:D21"/>
    <mergeCell ref="A1:E1"/>
    <mergeCell ref="A14:B14"/>
    <mergeCell ref="A19:D19"/>
  </mergeCells>
  <pageMargins left="0.75" right="0.75" top="1" bottom="1" header="0.5" footer="0.5"/>
  <pageSetup orientation="portrait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QUARTA-FEIRA — 12/08/2026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/>
      <c r="E7" s="15">
        <f>C7*D7</f>
        <v/>
      </c>
    </row>
    <row r="8">
      <c r="A8" s="8" t="inlineStr">
        <is>
          <t>Rafael</t>
        </is>
      </c>
      <c r="B8" s="8" t="inlineStr">
        <is>
          <t>Eletricista</t>
        </is>
      </c>
      <c r="C8" s="13">
        <f>'Parâmetros'!$C$10</f>
        <v/>
      </c>
      <c r="D8" s="14" t="n"/>
      <c r="E8" s="15">
        <f>C8*D8</f>
        <v/>
      </c>
    </row>
    <row r="9">
      <c r="A9" s="8" t="inlineStr">
        <is>
          <t>Iago</t>
        </is>
      </c>
      <c r="B9" s="8" t="inlineStr">
        <is>
          <t>Servente</t>
        </is>
      </c>
      <c r="C9" s="13">
        <f>'Parâmetros'!$C$11</f>
        <v/>
      </c>
      <c r="D9" s="14" t="n">
        <v>0.5</v>
      </c>
      <c r="E9" s="15">
        <f>C9*D9</f>
        <v/>
      </c>
    </row>
    <row r="10">
      <c r="A10" s="16" t="inlineStr">
        <is>
          <t>SUBTOTAL — MÃO DE OBRA</t>
        </is>
      </c>
      <c r="B10" s="17" t="n"/>
      <c r="C10" s="18" t="inlineStr">
        <is>
          <t>Diárias:</t>
        </is>
      </c>
      <c r="D10" s="19">
        <f>SUM(D6:D9)</f>
        <v/>
      </c>
      <c r="E10" s="20">
        <f>SUM(E6:E9)</f>
        <v/>
      </c>
    </row>
    <row r="12">
      <c r="A12" s="6" t="inlineStr">
        <is>
          <t>2. ALIMENTAÇÃO E OUTROS CONSUMOS DO DIA</t>
        </is>
      </c>
    </row>
    <row r="13" ht="26" customHeight="1">
      <c r="A13" s="7" t="inlineStr">
        <is>
          <t>Descrição</t>
        </is>
      </c>
      <c r="B13" s="7" t="inlineStr"/>
      <c r="C13" s="7" t="inlineStr">
        <is>
          <t>Valor unitário (R$)</t>
        </is>
      </c>
      <c r="D13" s="7" t="inlineStr">
        <is>
          <t>Quantidade</t>
        </is>
      </c>
      <c r="E13" s="7" t="inlineStr">
        <is>
          <t>Valor Total (R$)</t>
        </is>
      </c>
    </row>
    <row r="14">
      <c r="A14" s="8" t="inlineStr">
        <is>
          <t>Quentinhas fornecidas</t>
        </is>
      </c>
      <c r="B14" s="11" t="n"/>
      <c r="C14" s="9" t="n">
        <v>18</v>
      </c>
      <c r="D14" s="21" t="n">
        <v>2</v>
      </c>
      <c r="E14" s="15">
        <f>C14*D14</f>
        <v/>
      </c>
    </row>
    <row r="16">
      <c r="A16" s="6" t="inlineStr">
        <is>
          <t>3. RESUMO DO DIA — QUARTA-FEIRA 12/08</t>
        </is>
      </c>
    </row>
    <row r="17">
      <c r="A17" s="8" t="inlineStr">
        <is>
          <t>Total de diárias trabalhadas</t>
        </is>
      </c>
      <c r="B17" s="11" t="n"/>
      <c r="C17" s="11" t="n"/>
      <c r="D17" s="11" t="n"/>
      <c r="E17" s="22">
        <f>D10</f>
        <v/>
      </c>
    </row>
    <row r="18">
      <c r="A18" s="8" t="inlineStr">
        <is>
          <t>Quentinhas fornecidas (un.)</t>
        </is>
      </c>
      <c r="B18" s="11" t="n"/>
      <c r="C18" s="11" t="n"/>
      <c r="D18" s="11" t="n"/>
      <c r="E18" s="23">
        <f>D14</f>
        <v/>
      </c>
    </row>
    <row r="19">
      <c r="A19" s="8" t="inlineStr">
        <is>
          <t>Custo de mão de obra</t>
        </is>
      </c>
      <c r="B19" s="11" t="n"/>
      <c r="C19" s="11" t="n"/>
      <c r="D19" s="11" t="n"/>
      <c r="E19" s="15">
        <f>E10</f>
        <v/>
      </c>
    </row>
    <row r="20">
      <c r="A20" s="8" t="inlineStr">
        <is>
          <t>Custo de alimentação</t>
        </is>
      </c>
      <c r="B20" s="11" t="n"/>
      <c r="C20" s="11" t="n"/>
      <c r="D20" s="11" t="n"/>
      <c r="E20" s="15">
        <f>E14</f>
        <v/>
      </c>
    </row>
    <row r="21">
      <c r="A21" s="24" t="inlineStr">
        <is>
          <t>TOTAL DO DIA</t>
        </is>
      </c>
      <c r="B21" s="25" t="n"/>
      <c r="C21" s="25" t="n"/>
      <c r="D21" s="25" t="n"/>
      <c r="E21" s="26">
        <f>E19+E20</f>
        <v/>
      </c>
    </row>
    <row r="23">
      <c r="A23" s="27" t="inlineStr">
        <is>
          <t>Observação: Integração de Iago (servente, R$ 90,00) com meio expediente no primeiro dia (meia diária)</t>
        </is>
      </c>
    </row>
    <row r="24"/>
  </sheetData>
  <mergeCells count="13">
    <mergeCell ref="A17:D17"/>
    <mergeCell ref="A12:E12"/>
    <mergeCell ref="A4:E4"/>
    <mergeCell ref="A18:D18"/>
    <mergeCell ref="A2:E2"/>
    <mergeCell ref="A16:E16"/>
    <mergeCell ref="A23:E24"/>
    <mergeCell ref="A20:D20"/>
    <mergeCell ref="A10:B10"/>
    <mergeCell ref="A21:D21"/>
    <mergeCell ref="A1:E1"/>
    <mergeCell ref="A14:B14"/>
    <mergeCell ref="A19:D19"/>
  </mergeCells>
  <pageMargins left="0.75" right="0.75" top="1" bottom="1" header="0.5" footer="0.5"/>
  <pageSetup orientation="portrait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QUINTA-FEIRA — 13/08/2026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/>
      <c r="E7" s="15">
        <f>C7*D7</f>
        <v/>
      </c>
    </row>
    <row r="8">
      <c r="A8" s="8" t="inlineStr">
        <is>
          <t>Rafael</t>
        </is>
      </c>
      <c r="B8" s="8" t="inlineStr">
        <is>
          <t>Eletricista</t>
        </is>
      </c>
      <c r="C8" s="13">
        <f>'Parâmetros'!$C$10</f>
        <v/>
      </c>
      <c r="D8" s="14" t="n"/>
      <c r="E8" s="15">
        <f>C8*D8</f>
        <v/>
      </c>
    </row>
    <row r="9">
      <c r="A9" s="8" t="inlineStr">
        <is>
          <t>Iago</t>
        </is>
      </c>
      <c r="B9" s="8" t="inlineStr">
        <is>
          <t>Servente</t>
        </is>
      </c>
      <c r="C9" s="13">
        <f>'Parâmetros'!$C$11</f>
        <v/>
      </c>
      <c r="D9" s="14" t="n">
        <v>1</v>
      </c>
      <c r="E9" s="15">
        <f>C9*D9</f>
        <v/>
      </c>
    </row>
    <row r="10">
      <c r="A10" s="16" t="inlineStr">
        <is>
          <t>SUBTOTAL — MÃO DE OBRA</t>
        </is>
      </c>
      <c r="B10" s="17" t="n"/>
      <c r="C10" s="18" t="inlineStr">
        <is>
          <t>Diárias:</t>
        </is>
      </c>
      <c r="D10" s="19">
        <f>SUM(D6:D9)</f>
        <v/>
      </c>
      <c r="E10" s="20">
        <f>SUM(E6:E9)</f>
        <v/>
      </c>
    </row>
    <row r="12">
      <c r="A12" s="6" t="inlineStr">
        <is>
          <t>2. ALIMENTAÇÃO E OUTROS CONSUMOS DO DIA</t>
        </is>
      </c>
    </row>
    <row r="13" ht="26" customHeight="1">
      <c r="A13" s="7" t="inlineStr">
        <is>
          <t>Descrição</t>
        </is>
      </c>
      <c r="B13" s="7" t="inlineStr"/>
      <c r="C13" s="7" t="inlineStr">
        <is>
          <t>Valor unitário (R$)</t>
        </is>
      </c>
      <c r="D13" s="7" t="inlineStr">
        <is>
          <t>Quantidade</t>
        </is>
      </c>
      <c r="E13" s="7" t="inlineStr">
        <is>
          <t>Valor Total (R$)</t>
        </is>
      </c>
    </row>
    <row r="14">
      <c r="A14" s="8" t="inlineStr">
        <is>
          <t>Quentinhas fornecidas</t>
        </is>
      </c>
      <c r="B14" s="11" t="n"/>
      <c r="C14" s="9" t="n">
        <v>18</v>
      </c>
      <c r="D14" s="21" t="n">
        <v>2</v>
      </c>
      <c r="E14" s="15">
        <f>C14*D14</f>
        <v/>
      </c>
    </row>
    <row r="16">
      <c r="A16" s="6" t="inlineStr">
        <is>
          <t>3. RESUMO DO DIA — QUINTA-FEIRA 13/08</t>
        </is>
      </c>
    </row>
    <row r="17">
      <c r="A17" s="8" t="inlineStr">
        <is>
          <t>Total de diárias trabalhadas</t>
        </is>
      </c>
      <c r="B17" s="11" t="n"/>
      <c r="C17" s="11" t="n"/>
      <c r="D17" s="11" t="n"/>
      <c r="E17" s="22">
        <f>D10</f>
        <v/>
      </c>
    </row>
    <row r="18">
      <c r="A18" s="8" t="inlineStr">
        <is>
          <t>Quentinhas fornecidas (un.)</t>
        </is>
      </c>
      <c r="B18" s="11" t="n"/>
      <c r="C18" s="11" t="n"/>
      <c r="D18" s="11" t="n"/>
      <c r="E18" s="23">
        <f>D14</f>
        <v/>
      </c>
    </row>
    <row r="19">
      <c r="A19" s="8" t="inlineStr">
        <is>
          <t>Custo de mão de obra</t>
        </is>
      </c>
      <c r="B19" s="11" t="n"/>
      <c r="C19" s="11" t="n"/>
      <c r="D19" s="11" t="n"/>
      <c r="E19" s="15">
        <f>E10</f>
        <v/>
      </c>
    </row>
    <row r="20">
      <c r="A20" s="8" t="inlineStr">
        <is>
          <t>Custo de alimentação</t>
        </is>
      </c>
      <c r="B20" s="11" t="n"/>
      <c r="C20" s="11" t="n"/>
      <c r="D20" s="11" t="n"/>
      <c r="E20" s="15">
        <f>E14</f>
        <v/>
      </c>
    </row>
    <row r="21">
      <c r="A21" s="24" t="inlineStr">
        <is>
          <t>TOTAL DO DIA</t>
        </is>
      </c>
      <c r="B21" s="25" t="n"/>
      <c r="C21" s="25" t="n"/>
      <c r="D21" s="25" t="n"/>
      <c r="E21" s="26">
        <f>E19+E20</f>
        <v/>
      </c>
    </row>
    <row r="23">
      <c r="A23" s="27" t="inlineStr">
        <is>
          <t>Observação: Iago em expediente integral</t>
        </is>
      </c>
    </row>
    <row r="24"/>
  </sheetData>
  <mergeCells count="13">
    <mergeCell ref="A17:D17"/>
    <mergeCell ref="A12:E12"/>
    <mergeCell ref="A4:E4"/>
    <mergeCell ref="A18:D18"/>
    <mergeCell ref="A2:E2"/>
    <mergeCell ref="A16:E16"/>
    <mergeCell ref="A23:E24"/>
    <mergeCell ref="A20:D20"/>
    <mergeCell ref="A10:B10"/>
    <mergeCell ref="A21:D21"/>
    <mergeCell ref="A1:E1"/>
    <mergeCell ref="A14:B14"/>
    <mergeCell ref="A19:D19"/>
  </mergeCells>
  <pageMargins left="0.75" right="0.75" top="1" bottom="1" header="0.5" footer="0.5"/>
  <pageSetup orientation="portrait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7" customWidth="1" min="3" max="3"/>
    <col width="12" customWidth="1" min="4" max="4"/>
    <col width="19" customWidth="1" min="5" max="5"/>
  </cols>
  <sheetData>
    <row r="1">
      <c r="A1" s="1" t="inlineStr">
        <is>
          <t>SEXTA-FEIRA — 14/08/2026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MÃO DE OBRA — DETALHAMENTO POR FUNCIONÁRIO</t>
        </is>
      </c>
    </row>
    <row r="5" ht="26" customHeight="1">
      <c r="A5" s="7" t="inlineStr">
        <is>
          <t>Funcionário</t>
        </is>
      </c>
      <c r="B5" s="7" t="inlineStr">
        <is>
          <t>Função</t>
        </is>
      </c>
      <c r="C5" s="7" t="inlineStr">
        <is>
          <t>Diária (R$)</t>
        </is>
      </c>
      <c r="D5" s="7" t="inlineStr">
        <is>
          <t>Presença</t>
        </is>
      </c>
      <c r="E5" s="7" t="inlineStr">
        <is>
          <t>Valor do Dia (R$)</t>
        </is>
      </c>
    </row>
    <row r="6">
      <c r="A6" s="8" t="inlineStr">
        <is>
          <t>Thiago</t>
        </is>
      </c>
      <c r="B6" s="8" t="inlineStr">
        <is>
          <t>Pedreiro</t>
        </is>
      </c>
      <c r="C6" s="13">
        <f>'Parâmetros'!$C$8</f>
        <v/>
      </c>
      <c r="D6" s="14" t="n">
        <v>1</v>
      </c>
      <c r="E6" s="15">
        <f>C6*D6</f>
        <v/>
      </c>
    </row>
    <row r="7">
      <c r="A7" s="8" t="inlineStr">
        <is>
          <t>Wiliton</t>
        </is>
      </c>
      <c r="B7" s="8" t="inlineStr">
        <is>
          <t>Eletricista</t>
        </is>
      </c>
      <c r="C7" s="13">
        <f>'Parâmetros'!$C$9</f>
        <v/>
      </c>
      <c r="D7" s="14" t="n">
        <v>1</v>
      </c>
      <c r="E7" s="15">
        <f>C7*D7</f>
        <v/>
      </c>
    </row>
    <row r="8">
      <c r="A8" s="8" t="inlineStr">
        <is>
          <t>Rafael</t>
        </is>
      </c>
      <c r="B8" s="8" t="inlineStr">
        <is>
          <t>Eletricista</t>
        </is>
      </c>
      <c r="C8" s="13">
        <f>'Parâmetros'!$C$10</f>
        <v/>
      </c>
      <c r="D8" s="14" t="n"/>
      <c r="E8" s="15">
        <f>C8*D8</f>
        <v/>
      </c>
    </row>
    <row r="9">
      <c r="A9" s="8" t="inlineStr">
        <is>
          <t>Iago</t>
        </is>
      </c>
      <c r="B9" s="8" t="inlineStr">
        <is>
          <t>Servente</t>
        </is>
      </c>
      <c r="C9" s="13">
        <f>'Parâmetros'!$C$11</f>
        <v/>
      </c>
      <c r="D9" s="14" t="n">
        <v>1</v>
      </c>
      <c r="E9" s="15">
        <f>C9*D9</f>
        <v/>
      </c>
    </row>
    <row r="10">
      <c r="A10" s="16" t="inlineStr">
        <is>
          <t>SUBTOTAL — MÃO DE OBRA</t>
        </is>
      </c>
      <c r="B10" s="17" t="n"/>
      <c r="C10" s="18" t="inlineStr">
        <is>
          <t>Diárias:</t>
        </is>
      </c>
      <c r="D10" s="19">
        <f>SUM(D6:D9)</f>
        <v/>
      </c>
      <c r="E10" s="20">
        <f>SUM(E6:E9)</f>
        <v/>
      </c>
    </row>
    <row r="12">
      <c r="A12" s="6" t="inlineStr">
        <is>
          <t>2. ALIMENTAÇÃO E OUTROS CONSUMOS DO DIA</t>
        </is>
      </c>
    </row>
    <row r="13" ht="26" customHeight="1">
      <c r="A13" s="7" t="inlineStr">
        <is>
          <t>Descrição</t>
        </is>
      </c>
      <c r="B13" s="7" t="inlineStr"/>
      <c r="C13" s="7" t="inlineStr">
        <is>
          <t>Valor unitário (R$)</t>
        </is>
      </c>
      <c r="D13" s="7" t="inlineStr">
        <is>
          <t>Quantidade</t>
        </is>
      </c>
      <c r="E13" s="7" t="inlineStr">
        <is>
          <t>Valor Total (R$)</t>
        </is>
      </c>
    </row>
    <row r="14">
      <c r="A14" s="8" t="inlineStr">
        <is>
          <t>Quentinhas fornecidas</t>
        </is>
      </c>
      <c r="B14" s="11" t="n"/>
      <c r="C14" s="9" t="n">
        <v>22</v>
      </c>
      <c r="D14" s="21" t="n">
        <v>3</v>
      </c>
      <c r="E14" s="15">
        <f>C14*D14</f>
        <v/>
      </c>
    </row>
    <row r="16">
      <c r="A16" s="6" t="inlineStr">
        <is>
          <t>3. RESUMO DO DIA — SEXTA-FEIRA 14/08</t>
        </is>
      </c>
    </row>
    <row r="17">
      <c r="A17" s="8" t="inlineStr">
        <is>
          <t>Total de diárias trabalhadas</t>
        </is>
      </c>
      <c r="B17" s="11" t="n"/>
      <c r="C17" s="11" t="n"/>
      <c r="D17" s="11" t="n"/>
      <c r="E17" s="22">
        <f>D10</f>
        <v/>
      </c>
    </row>
    <row r="18">
      <c r="A18" s="8" t="inlineStr">
        <is>
          <t>Quentinhas fornecidas (un.)</t>
        </is>
      </c>
      <c r="B18" s="11" t="n"/>
      <c r="C18" s="11" t="n"/>
      <c r="D18" s="11" t="n"/>
      <c r="E18" s="23">
        <f>D14</f>
        <v/>
      </c>
    </row>
    <row r="19">
      <c r="A19" s="8" t="inlineStr">
        <is>
          <t>Custo de mão de obra</t>
        </is>
      </c>
      <c r="B19" s="11" t="n"/>
      <c r="C19" s="11" t="n"/>
      <c r="D19" s="11" t="n"/>
      <c r="E19" s="15">
        <f>E10</f>
        <v/>
      </c>
    </row>
    <row r="20">
      <c r="A20" s="8" t="inlineStr">
        <is>
          <t>Custo de alimentação</t>
        </is>
      </c>
      <c r="B20" s="11" t="n"/>
      <c r="C20" s="11" t="n"/>
      <c r="D20" s="11" t="n"/>
      <c r="E20" s="15">
        <f>E14</f>
        <v/>
      </c>
    </row>
    <row r="21">
      <c r="A21" s="24" t="inlineStr">
        <is>
          <t>TOTAL DO DIA</t>
        </is>
      </c>
      <c r="B21" s="25" t="n"/>
      <c r="C21" s="25" t="n"/>
      <c r="D21" s="25" t="n"/>
      <c r="E21" s="26">
        <f>E19+E20</f>
        <v/>
      </c>
    </row>
    <row r="23">
      <c r="A23" s="27" t="inlineStr">
        <is>
          <t>Observação: Quentinha a R$ 22,00 (fornecedor de R$ 18,00 indisponível). Encerramento da semana na sexta-feira</t>
        </is>
      </c>
    </row>
    <row r="24"/>
  </sheetData>
  <mergeCells count="13">
    <mergeCell ref="A17:D17"/>
    <mergeCell ref="A12:E12"/>
    <mergeCell ref="A4:E4"/>
    <mergeCell ref="A18:D18"/>
    <mergeCell ref="A2:E2"/>
    <mergeCell ref="A16:E16"/>
    <mergeCell ref="A23:E24"/>
    <mergeCell ref="A20:D20"/>
    <mergeCell ref="A10:B10"/>
    <mergeCell ref="A21:D21"/>
    <mergeCell ref="A1:E1"/>
    <mergeCell ref="A14:B14"/>
    <mergeCell ref="A19:D19"/>
  </mergeCells>
  <pageMargins left="0.75" right="0.75" top="1" bottom="1" header="0.5" footer="0.5"/>
  <pageSetup orientation="portrait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42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3" customWidth="1" min="3" max="3"/>
    <col width="18" customWidth="1" min="4" max="4"/>
    <col width="16" customWidth="1" min="5" max="5"/>
    <col width="18" customWidth="1" min="6" max="6"/>
    <col width="20" customWidth="1" min="7" max="7"/>
  </cols>
  <sheetData>
    <row r="1">
      <c r="A1" s="28" t="inlineStr">
        <is>
          <t>RESUMO GERAL DA SEMANA — 10/08 A 14/08/2026</t>
        </is>
      </c>
    </row>
    <row r="2">
      <c r="A2" s="2" t="inlineStr">
        <is>
          <t>Obra: Selecta – Gil Martins  ·  Av. Gil Martins, 3144 – Três Andares – Teresina/PI  ·  RV Engenharia</t>
        </is>
      </c>
    </row>
    <row r="4">
      <c r="A4" s="6" t="inlineStr">
        <is>
          <t>1. FECHAMENTO POR DIA</t>
        </is>
      </c>
    </row>
    <row r="5" ht="28" customHeight="1">
      <c r="A5" s="7" t="inlineStr">
        <is>
          <t>Dia</t>
        </is>
      </c>
      <c r="B5" s="7" t="inlineStr">
        <is>
          <t>Data</t>
        </is>
      </c>
      <c r="C5" s="7" t="inlineStr">
        <is>
          <t>Diárias</t>
        </is>
      </c>
      <c r="D5" s="7" t="inlineStr">
        <is>
          <t>Mão de Obra (R$)</t>
        </is>
      </c>
      <c r="E5" s="7" t="inlineStr">
        <is>
          <t>Quentinhas (un.)</t>
        </is>
      </c>
      <c r="F5" s="7" t="inlineStr">
        <is>
          <t>Alim. e outros (R$)</t>
        </is>
      </c>
      <c r="G5" s="7" t="inlineStr">
        <is>
          <t>Total do Dia (R$)</t>
        </is>
      </c>
    </row>
    <row r="6">
      <c r="A6" s="8" t="inlineStr">
        <is>
          <t>Segunda</t>
        </is>
      </c>
      <c r="B6" s="29" t="n">
        <v>46244</v>
      </c>
      <c r="C6" s="22">
        <f>'Segunda 10-08'!$E$17</f>
        <v/>
      </c>
      <c r="D6" s="15">
        <f>'Segunda 10-08'!$E$19</f>
        <v/>
      </c>
      <c r="E6" s="23">
        <f>'Segunda 10-08'!$E$18</f>
        <v/>
      </c>
      <c r="F6" s="15">
        <f>'Segunda 10-08'!$E$20</f>
        <v/>
      </c>
      <c r="G6" s="30">
        <f>'Segunda 10-08'!$E$21</f>
        <v/>
      </c>
    </row>
    <row r="7">
      <c r="A7" s="8" t="inlineStr">
        <is>
          <t>Terça</t>
        </is>
      </c>
      <c r="B7" s="29" t="n">
        <v>46245</v>
      </c>
      <c r="C7" s="22">
        <f>'Terça 11-08'!$E$17</f>
        <v/>
      </c>
      <c r="D7" s="15">
        <f>'Terça 11-08'!$E$19</f>
        <v/>
      </c>
      <c r="E7" s="23">
        <f>'Terça 11-08'!$E$18</f>
        <v/>
      </c>
      <c r="F7" s="15">
        <f>'Terça 11-08'!$E$20</f>
        <v/>
      </c>
      <c r="G7" s="30">
        <f>'Terça 11-08'!$E$21</f>
        <v/>
      </c>
    </row>
    <row r="8">
      <c r="A8" s="8" t="inlineStr">
        <is>
          <t>Quarta</t>
        </is>
      </c>
      <c r="B8" s="29" t="n">
        <v>46246</v>
      </c>
      <c r="C8" s="22">
        <f>'Quarta 12-08'!$E$17</f>
        <v/>
      </c>
      <c r="D8" s="15">
        <f>'Quarta 12-08'!$E$19</f>
        <v/>
      </c>
      <c r="E8" s="23">
        <f>'Quarta 12-08'!$E$18</f>
        <v/>
      </c>
      <c r="F8" s="15">
        <f>'Quarta 12-08'!$E$20</f>
        <v/>
      </c>
      <c r="G8" s="30">
        <f>'Quarta 12-08'!$E$21</f>
        <v/>
      </c>
    </row>
    <row r="9">
      <c r="A9" s="8" t="inlineStr">
        <is>
          <t>Quinta</t>
        </is>
      </c>
      <c r="B9" s="29" t="n">
        <v>46247</v>
      </c>
      <c r="C9" s="22">
        <f>'Quinta 13-08'!$E$17</f>
        <v/>
      </c>
      <c r="D9" s="15">
        <f>'Quinta 13-08'!$E$19</f>
        <v/>
      </c>
      <c r="E9" s="23">
        <f>'Quinta 13-08'!$E$18</f>
        <v/>
      </c>
      <c r="F9" s="15">
        <f>'Quinta 13-08'!$E$20</f>
        <v/>
      </c>
      <c r="G9" s="30">
        <f>'Quinta 13-08'!$E$21</f>
        <v/>
      </c>
    </row>
    <row r="10">
      <c r="A10" s="8" t="inlineStr">
        <is>
          <t>Sexta</t>
        </is>
      </c>
      <c r="B10" s="29" t="n">
        <v>46248</v>
      </c>
      <c r="C10" s="22">
        <f>'Sexta 14-08'!$E$17</f>
        <v/>
      </c>
      <c r="D10" s="15">
        <f>'Sexta 14-08'!$E$19</f>
        <v/>
      </c>
      <c r="E10" s="23">
        <f>'Sexta 14-08'!$E$18</f>
        <v/>
      </c>
      <c r="F10" s="15">
        <f>'Sexta 14-08'!$E$20</f>
        <v/>
      </c>
      <c r="G10" s="30">
        <f>'Sexta 14-08'!$E$21</f>
        <v/>
      </c>
    </row>
    <row r="11">
      <c r="A11" s="16" t="inlineStr">
        <is>
          <t>TOTAL DA SEMANA</t>
        </is>
      </c>
      <c r="B11" s="17" t="n"/>
      <c r="C11" s="31">
        <f>SUM(C6:C10)</f>
        <v/>
      </c>
      <c r="D11" s="20">
        <f>SUM(D6:D10)</f>
        <v/>
      </c>
      <c r="E11" s="32">
        <f>SUM(E6:E10)</f>
        <v/>
      </c>
      <c r="F11" s="20">
        <f>SUM(F6:F10)</f>
        <v/>
      </c>
      <c r="G11" s="20">
        <f>SUM(G6:G10)</f>
        <v/>
      </c>
    </row>
    <row r="13">
      <c r="A13" s="6" t="inlineStr">
        <is>
          <t>2. GASTOS POR FUNCIONÁRIO</t>
        </is>
      </c>
    </row>
    <row r="14" ht="28" customHeight="1">
      <c r="A14" s="7" t="inlineStr">
        <is>
          <t>Funcionário</t>
        </is>
      </c>
      <c r="B14" s="7" t="inlineStr">
        <is>
          <t>Função</t>
        </is>
      </c>
      <c r="C14" s="7" t="inlineStr">
        <is>
          <t>Diária (R$)</t>
        </is>
      </c>
      <c r="D14" s="7" t="inlineStr">
        <is>
          <t>Diárias na Semana</t>
        </is>
      </c>
      <c r="E14" s="33" t="n"/>
      <c r="F14" s="34" t="n"/>
      <c r="G14" s="7" t="inlineStr">
        <is>
          <t>Total a Pagar (R$)</t>
        </is>
      </c>
    </row>
    <row r="15">
      <c r="A15" s="8" t="inlineStr">
        <is>
          <t>Thiago</t>
        </is>
      </c>
      <c r="B15" s="8" t="inlineStr">
        <is>
          <t>Pedreiro</t>
        </is>
      </c>
      <c r="C15" s="13">
        <f>'Parâmetros'!$C$8</f>
        <v/>
      </c>
      <c r="D15" s="35">
        <f>'Segunda 10-08'!$D$6+'Terça 11-08'!$D$6+'Quarta 12-08'!$D$6+'Quinta 13-08'!$D$6+'Sexta 14-08'!$D$6</f>
        <v/>
      </c>
      <c r="E15" s="11" t="n"/>
      <c r="F15" s="11" t="n"/>
      <c r="G15" s="30">
        <f>C15*D15</f>
        <v/>
      </c>
    </row>
    <row r="16">
      <c r="A16" s="8" t="inlineStr">
        <is>
          <t>Wiliton</t>
        </is>
      </c>
      <c r="B16" s="8" t="inlineStr">
        <is>
          <t>Eletricista</t>
        </is>
      </c>
      <c r="C16" s="13">
        <f>'Parâmetros'!$C$9</f>
        <v/>
      </c>
      <c r="D16" s="35">
        <f>'Segunda 10-08'!$D$7+'Terça 11-08'!$D$7+'Quarta 12-08'!$D$7+'Quinta 13-08'!$D$7+'Sexta 14-08'!$D$7</f>
        <v/>
      </c>
      <c r="E16" s="11" t="n"/>
      <c r="F16" s="11" t="n"/>
      <c r="G16" s="30">
        <f>C16*D16</f>
        <v/>
      </c>
    </row>
    <row r="17">
      <c r="A17" s="8" t="inlineStr">
        <is>
          <t>Rafael</t>
        </is>
      </c>
      <c r="B17" s="8" t="inlineStr">
        <is>
          <t>Eletricista</t>
        </is>
      </c>
      <c r="C17" s="13">
        <f>'Parâmetros'!$C$10</f>
        <v/>
      </c>
      <c r="D17" s="35">
        <f>'Segunda 10-08'!$D$8+'Terça 11-08'!$D$8+'Quarta 12-08'!$D$8+'Quinta 13-08'!$D$8+'Sexta 14-08'!$D$8</f>
        <v/>
      </c>
      <c r="E17" s="11" t="n"/>
      <c r="F17" s="11" t="n"/>
      <c r="G17" s="30">
        <f>C17*D17</f>
        <v/>
      </c>
    </row>
    <row r="18">
      <c r="A18" s="8" t="inlineStr">
        <is>
          <t>Iago</t>
        </is>
      </c>
      <c r="B18" s="8" t="inlineStr">
        <is>
          <t>Servente</t>
        </is>
      </c>
      <c r="C18" s="13">
        <f>'Parâmetros'!$C$11</f>
        <v/>
      </c>
      <c r="D18" s="35">
        <f>'Segunda 10-08'!$D$9+'Terça 11-08'!$D$9+'Quarta 12-08'!$D$9+'Quinta 13-08'!$D$9+'Sexta 14-08'!$D$9</f>
        <v/>
      </c>
      <c r="E18" s="11" t="n"/>
      <c r="F18" s="11" t="n"/>
      <c r="G18" s="30">
        <f>C18*D18</f>
        <v/>
      </c>
    </row>
    <row r="19">
      <c r="A19" s="16" t="inlineStr">
        <is>
          <t>TOTAL — MÃO DE OBRA DA SEMANA</t>
        </is>
      </c>
      <c r="B19" s="17" t="n"/>
      <c r="C19" s="17" t="n"/>
      <c r="D19" s="19">
        <f>SUM(D15:D18)</f>
        <v/>
      </c>
      <c r="E19" s="17" t="n"/>
      <c r="F19" s="17" t="n"/>
      <c r="G19" s="20">
        <f>SUM(G15:G18)</f>
        <v/>
      </c>
    </row>
    <row r="21">
      <c r="A21" s="6" t="inlineStr">
        <is>
          <t>3. GASTOS COM QUENTINHAS — SEPARADO POR VALOR UNITÁRIO (E OUTROS CONSUMOS)</t>
        </is>
      </c>
    </row>
    <row r="22" ht="28" customHeight="1">
      <c r="A22" s="7" t="inlineStr">
        <is>
          <t>Valor unitário / item</t>
        </is>
      </c>
      <c r="B22" s="7" t="inlineStr">
        <is>
          <t>Dias em que foi usado</t>
        </is>
      </c>
      <c r="C22" s="33" t="n"/>
      <c r="D22" s="34" t="n"/>
      <c r="E22" s="7" t="inlineStr">
        <is>
          <t>Quantidade (un.)</t>
        </is>
      </c>
      <c r="F22" s="34" t="n"/>
      <c r="G22" s="7" t="inlineStr">
        <is>
          <t>Custo (R$)</t>
        </is>
      </c>
    </row>
    <row r="23">
      <c r="A23" s="30" t="n">
        <v>18</v>
      </c>
      <c r="B23" s="8" t="inlineStr">
        <is>
          <t>10/08, 11/08, 12/08, 13/08</t>
        </is>
      </c>
      <c r="C23" s="11" t="n"/>
      <c r="D23" s="11" t="n"/>
      <c r="E23" s="36">
        <f>'Segunda 10-08'!$D$14+'Terça 11-08'!$D$14+'Quarta 12-08'!$D$14+'Quinta 13-08'!$D$14</f>
        <v/>
      </c>
      <c r="F23" s="11" t="n"/>
      <c r="G23" s="30">
        <f>'Segunda 10-08'!$E$14+'Terça 11-08'!$E$14+'Quarta 12-08'!$E$14+'Quinta 13-08'!$E$14</f>
        <v/>
      </c>
    </row>
    <row r="24">
      <c r="A24" s="30" t="n">
        <v>22</v>
      </c>
      <c r="B24" s="8" t="inlineStr">
        <is>
          <t>14/08</t>
        </is>
      </c>
      <c r="C24" s="11" t="n"/>
      <c r="D24" s="11" t="n"/>
      <c r="E24" s="36">
        <f>'Sexta 14-08'!$D$14</f>
        <v/>
      </c>
      <c r="F24" s="11" t="n"/>
      <c r="G24" s="30">
        <f>'Sexta 14-08'!$E$14</f>
        <v/>
      </c>
    </row>
    <row r="25">
      <c r="A25" s="16" t="inlineStr">
        <is>
          <t>TOTAL DE QUENTINHAS DA SEMANA</t>
        </is>
      </c>
      <c r="B25" s="17" t="n"/>
      <c r="C25" s="17" t="n"/>
      <c r="D25" s="17" t="n"/>
      <c r="E25" s="37">
        <f>SUM(E23:E24)</f>
        <v/>
      </c>
      <c r="F25" s="17" t="n"/>
      <c r="G25" s="20">
        <f>SUM(G23:G24)</f>
        <v/>
      </c>
    </row>
    <row r="27">
      <c r="A27" s="6" t="inlineStr">
        <is>
          <t>4. GASTO GERAL DA SEMANA</t>
        </is>
      </c>
    </row>
    <row r="28">
      <c r="A28" s="8" t="inlineStr">
        <is>
          <t>Total de mão de obra</t>
        </is>
      </c>
      <c r="B28" s="11" t="n"/>
      <c r="C28" s="11" t="n"/>
      <c r="D28" s="11" t="n"/>
      <c r="E28" s="11" t="n"/>
      <c r="F28" s="11" t="n"/>
      <c r="G28" s="15">
        <f>G19</f>
        <v/>
      </c>
    </row>
    <row r="29">
      <c r="A29" s="8" t="inlineStr">
        <is>
          <t>Total de alimentação e outros</t>
        </is>
      </c>
      <c r="B29" s="11" t="n"/>
      <c r="C29" s="11" t="n"/>
      <c r="D29" s="11" t="n"/>
      <c r="E29" s="11" t="n"/>
      <c r="F29" s="11" t="n"/>
      <c r="G29" s="15">
        <f>G25</f>
        <v/>
      </c>
    </row>
    <row r="30">
      <c r="A30" s="38" t="inlineStr">
        <is>
          <t>GASTO GERAL DA SEMANA</t>
        </is>
      </c>
      <c r="B30" s="25" t="n"/>
      <c r="C30" s="25" t="n"/>
      <c r="D30" s="25" t="n"/>
      <c r="E30" s="25" t="n"/>
      <c r="F30" s="25" t="n"/>
      <c r="G30" s="39">
        <f>G28+G29</f>
        <v/>
      </c>
    </row>
    <row r="32">
      <c r="A32" s="6" t="inlineStr">
        <is>
          <t>5. ACUMULADO DA OBRA</t>
        </is>
      </c>
    </row>
    <row r="33" ht="28" customHeight="1">
      <c r="A33" s="7" t="inlineStr">
        <is>
          <t>Período</t>
        </is>
      </c>
      <c r="B33" s="34" t="n"/>
      <c r="C33" s="7" t="inlineStr">
        <is>
          <t>Diárias</t>
        </is>
      </c>
      <c r="D33" s="7" t="inlineStr">
        <is>
          <t>Mão de Obra (R$)</t>
        </is>
      </c>
      <c r="E33" s="7" t="inlineStr">
        <is>
          <t>Quentinhas (un.)</t>
        </is>
      </c>
      <c r="F33" s="7" t="inlineStr">
        <is>
          <t>Alim. e outros (R$)</t>
        </is>
      </c>
      <c r="G33" s="7" t="inlineStr">
        <is>
          <t>Total (R$)</t>
        </is>
      </c>
    </row>
    <row r="34">
      <c r="A34" s="8" t="inlineStr">
        <is>
          <t>Semana 1 — 20/07 a 25/07</t>
        </is>
      </c>
      <c r="B34" s="11" t="n"/>
      <c r="C34" s="40" t="n">
        <v>16</v>
      </c>
      <c r="D34" s="9" t="n">
        <v>2340</v>
      </c>
      <c r="E34" s="41" t="n">
        <v>12</v>
      </c>
      <c r="F34" s="9" t="n">
        <v>264</v>
      </c>
      <c r="G34" s="9" t="n">
        <v>2604</v>
      </c>
    </row>
    <row r="35">
      <c r="A35" s="8" t="inlineStr">
        <is>
          <t>Semana 2 — 27/07 a 31/07</t>
        </is>
      </c>
      <c r="B35" s="11" t="n"/>
      <c r="C35" s="40" t="n">
        <v>19</v>
      </c>
      <c r="D35" s="9" t="n">
        <v>2370</v>
      </c>
      <c r="E35" s="41" t="n">
        <v>19</v>
      </c>
      <c r="F35" s="9" t="n">
        <v>334</v>
      </c>
      <c r="G35" s="9" t="n">
        <v>2704</v>
      </c>
    </row>
    <row r="36">
      <c r="A36" s="8" t="inlineStr">
        <is>
          <t>Semana 3 — 03/08 a 07/08</t>
        </is>
      </c>
      <c r="B36" s="11" t="n"/>
      <c r="C36" s="40" t="n">
        <v>14</v>
      </c>
      <c r="D36" s="9" t="n">
        <v>2360</v>
      </c>
      <c r="E36" s="41" t="n">
        <v>14</v>
      </c>
      <c r="F36" s="9" t="n">
        <v>246</v>
      </c>
      <c r="G36" s="9" t="n">
        <v>2606</v>
      </c>
    </row>
    <row r="37">
      <c r="A37" s="8" t="inlineStr">
        <is>
          <t>Semana 4 — 10/08 a 14/08</t>
        </is>
      </c>
      <c r="B37" s="11" t="n"/>
      <c r="C37" s="22">
        <f>C11</f>
        <v/>
      </c>
      <c r="D37" s="15">
        <f>D11</f>
        <v/>
      </c>
      <c r="E37" s="23">
        <f>E11</f>
        <v/>
      </c>
      <c r="F37" s="15">
        <f>F11</f>
        <v/>
      </c>
      <c r="G37" s="15">
        <f>G11</f>
        <v/>
      </c>
    </row>
    <row r="38">
      <c r="A38" s="42" t="inlineStr">
        <is>
          <t>TOTAL ACUMULADO DA OBRA</t>
        </is>
      </c>
      <c r="B38" s="43" t="n"/>
      <c r="C38" s="44">
        <f>SUM(C34:C37)</f>
        <v/>
      </c>
      <c r="D38" s="45">
        <f>SUM(D34:D37)</f>
        <v/>
      </c>
      <c r="E38" s="46">
        <f>SUM(E34:E37)</f>
        <v/>
      </c>
      <c r="F38" s="45">
        <f>SUM(F34:F37)</f>
        <v/>
      </c>
      <c r="G38" s="45">
        <f>SUM(G34:G37)</f>
        <v/>
      </c>
    </row>
    <row r="40">
      <c r="A40" s="47" t="inlineStr">
        <is>
          <t>Notas da semana: 11/08 — Rafael (eletricista, R$ 200,00) entra como reforço. 4 quentinhas para 3 funcionários: 1 unidade para o responsável pela obra; 12/08 — Integração de Iago (servente, R$ 90,00) com meio expediente no primeiro dia (meia diária); 13/08 — Iago em expediente integral; 14/08 — Quentinha a R$ 22,00 (fornecedor de R$ 18,00 indisponível). Encerramento da semana na sexta-feira. Constam apenas os funcionários com presença na semana. Os totais de mão de obra dos blocos 1 e 2 devem ser idênticos.</t>
        </is>
      </c>
    </row>
    <row r="41"/>
    <row r="42"/>
  </sheetData>
  <mergeCells count="33">
    <mergeCell ref="A32:G32"/>
    <mergeCell ref="B23:D23"/>
    <mergeCell ref="E24:F24"/>
    <mergeCell ref="A11:B11"/>
    <mergeCell ref="A4:G4"/>
    <mergeCell ref="E23:F23"/>
    <mergeCell ref="D17:F17"/>
    <mergeCell ref="A36:B36"/>
    <mergeCell ref="D16:F16"/>
    <mergeCell ref="A13:G13"/>
    <mergeCell ref="D18:F18"/>
    <mergeCell ref="A37:B37"/>
    <mergeCell ref="D15:F15"/>
    <mergeCell ref="B24:D24"/>
    <mergeCell ref="A29:F29"/>
    <mergeCell ref="A40:G42"/>
    <mergeCell ref="D14:F14"/>
    <mergeCell ref="A1:G1"/>
    <mergeCell ref="A19:C19"/>
    <mergeCell ref="A28:F28"/>
    <mergeCell ref="A33:B33"/>
    <mergeCell ref="A25:D25"/>
    <mergeCell ref="A30:F30"/>
    <mergeCell ref="A35:B35"/>
    <mergeCell ref="D19:F19"/>
    <mergeCell ref="A38:B38"/>
    <mergeCell ref="A27:G27"/>
    <mergeCell ref="E25:F25"/>
    <mergeCell ref="A21:G21"/>
    <mergeCell ref="B22:D22"/>
    <mergeCell ref="A2:G2"/>
    <mergeCell ref="E22:F22"/>
    <mergeCell ref="A34:B34"/>
  </mergeCells>
  <pageMargins left="0.75" right="0.75" top="1" bottom="1" header="0.5" footer="0.5"/>
  <pageSetup orientation="portrait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2026-09-12T15:10:16Z</dcterms:created>
  <dcterms:modified xmlns:dcterms="http://purl.org/dc/terms/" xmlns:xsi="http://www.w3.org/2001/XMLSchema-instance" xsi:type="dcterms:W3CDTF">2026-09-12T15:10:16Z</dcterms:modified>
</cp:coreProperties>
</file>