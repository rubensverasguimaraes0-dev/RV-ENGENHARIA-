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âmetros" sheetId="1" state="visible" r:id="rId3"/>
    <sheet name="Segunda 07-09" sheetId="2" state="visible" r:id="rId4"/>
    <sheet name="Terça 08-09" sheetId="3" state="visible" r:id="rId5"/>
    <sheet name="Quarta 09-09" sheetId="4" state="visible" r:id="rId6"/>
    <sheet name="Quinta 10-09" sheetId="5" state="visible" r:id="rId7"/>
    <sheet name="Sexta 11-09" sheetId="6" state="visible" r:id="rId8"/>
    <sheet name="Resumo Semana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<sst xmlns="http://schemas.openxmlformats.org/spreadsheetml/2006/main" count="270" uniqueCount="116">
  <si>
    <t xml:space="preserve">RV ENGENHARIA — CONTROLE DE DIÁRIAS E CUSTOS</t>
  </si>
  <si>
    <t xml:space="preserve">Obra: Selecta – Gil Martins  ·  Av. Gil Martins, 3144 – Três Andares – Teresina/PI  ·  RV Engenharia</t>
  </si>
  <si>
    <t xml:space="preserve">Semana de referência</t>
  </si>
  <si>
    <t xml:space="preserve">a</t>
  </si>
  <si>
    <t xml:space="preserve">EQUIPE E VALORES DE DIÁRIA</t>
  </si>
  <si>
    <t xml:space="preserve">Funcionário</t>
  </si>
  <si>
    <t xml:space="preserve">Função</t>
  </si>
  <si>
    <t xml:space="preserve">Diária (R$)</t>
  </si>
  <si>
    <t xml:space="preserve">Situação</t>
  </si>
  <si>
    <t xml:space="preserve">Thiago</t>
  </si>
  <si>
    <t xml:space="preserve">Pedreiro</t>
  </si>
  <si>
    <t xml:space="preserve">Ativo</t>
  </si>
  <si>
    <t xml:space="preserve">Francisco</t>
  </si>
  <si>
    <t xml:space="preserve">Rufino</t>
  </si>
  <si>
    <t xml:space="preserve">Servente</t>
  </si>
  <si>
    <t xml:space="preserve">Carlos</t>
  </si>
  <si>
    <t xml:space="preserve">ALIMENTAÇÃO — HISTÓRICO DE PREÇO DA QUENTINHA</t>
  </si>
  <si>
    <t xml:space="preserve">Vigência</t>
  </si>
  <si>
    <t xml:space="preserve">Valor unitário (R$)</t>
  </si>
  <si>
    <t xml:space="preserve">Observação</t>
  </si>
  <si>
    <t xml:space="preserve">De 20/07 a 28/07</t>
  </si>
  <si>
    <t xml:space="preserve">De 29/07 a 03/08</t>
  </si>
  <si>
    <t xml:space="preserve">Dia 04/08</t>
  </si>
  <si>
    <t xml:space="preserve">Dia 05/08</t>
  </si>
  <si>
    <t xml:space="preserve">De 06/08 a 13/08</t>
  </si>
  <si>
    <t xml:space="preserve">Dia 14/08</t>
  </si>
  <si>
    <t xml:space="preserve">De 17/08 a 25/08</t>
  </si>
  <si>
    <t xml:space="preserve">De 26/08 a 31/08</t>
  </si>
  <si>
    <t xml:space="preserve">De 01/09 a 11/09</t>
  </si>
  <si>
    <t xml:space="preserve">Valor corrente</t>
  </si>
  <si>
    <t xml:space="preserve">COMO USAR</t>
  </si>
  <si>
    <t xml:space="preserve">Células amarelas com texto azul são de preenchimento. As demais são fórmulas — não digite por cima.</t>
  </si>
  <si>
    <t xml:space="preserve">Nas abas de dia, coluna 'Presença': 1 = diária inteira · 0,5 = meia diária · vazio = não trabalhou.</t>
  </si>
  <si>
    <t xml:space="preserve">O valor da quentinha é lançado DENTRO de cada aba de dia — cada data guarda o preço que valeu naquele dia.</t>
  </si>
  <si>
    <t xml:space="preserve">A quantidade de quentinhas é livre: pode ser maior que o número de presentes, quando houver unidade adicional.</t>
  </si>
  <si>
    <t xml:space="preserve">Outros consumos do dia (gelo, entrega de quentinha) entram como linhas próprias na seção 2 de cada aba de dia.</t>
  </si>
  <si>
    <t xml:space="preserve">A aba 'Resumo Semanal' consolida os dias, o gasto por funcionário, as quentinhas por valor unitário e o acumulado da obra.</t>
  </si>
  <si>
    <t xml:space="preserve">Aparecem aqui apenas os funcionários que tiveram presença nesta semana.</t>
  </si>
  <si>
    <t xml:space="preserve">SEGUNDA-FEIRA — 07/09/2026</t>
  </si>
  <si>
    <t xml:space="preserve">1. MÃO DE OBRA — DETALHAMENTO POR FUNCIONÁRIO</t>
  </si>
  <si>
    <t xml:space="preserve">Presença</t>
  </si>
  <si>
    <t xml:space="preserve">Valor do Dia (R$)</t>
  </si>
  <si>
    <t xml:space="preserve">SUBTOTAL — MÃO DE OBRA</t>
  </si>
  <si>
    <t xml:space="preserve">Diárias:</t>
  </si>
  <si>
    <t xml:space="preserve">2. ALIMENTAÇÃO E OUTROS CONSUMOS DO DIA</t>
  </si>
  <si>
    <t xml:space="preserve">Descrição</t>
  </si>
  <si>
    <t xml:space="preserve">Quantidade</t>
  </si>
  <si>
    <t xml:space="preserve">Valor Total (R$)</t>
  </si>
  <si>
    <t xml:space="preserve">Quentinhas fornecidas</t>
  </si>
  <si>
    <t xml:space="preserve">3. RESUMO DO DIA — SEGUNDA-FEIRA 07/09</t>
  </si>
  <si>
    <t xml:space="preserve">Total de diárias trabalhadas</t>
  </si>
  <si>
    <t xml:space="preserve">Quentinhas fornecidas (un.)</t>
  </si>
  <si>
    <t xml:space="preserve">Custo de mão de obra</t>
  </si>
  <si>
    <t xml:space="preserve">Custo de alimentação</t>
  </si>
  <si>
    <t xml:space="preserve">TOTAL DO DIA</t>
  </si>
  <si>
    <t xml:space="preserve">Observação: Feriado (Independência): expediente até meio-dia, diária integral e sem quentinha</t>
  </si>
  <si>
    <t xml:space="preserve">TERÇA-FEIRA — 08/09/2026</t>
  </si>
  <si>
    <t xml:space="preserve">Gelo</t>
  </si>
  <si>
    <t xml:space="preserve">SUBTOTAL — ALIMENTAÇÃO E OUTROS</t>
  </si>
  <si>
    <t xml:space="preserve">3. RESUMO DO DIA — TERÇA-FEIRA 08/09</t>
  </si>
  <si>
    <t xml:space="preserve">Custo de alimentação e outros</t>
  </si>
  <si>
    <t xml:space="preserve">Observação: Entrada de Francisco (pedreiro, R$ 160,00), Rufino e Carlos (serventes, R$ 100,00). Início da compra de gelo</t>
  </si>
  <si>
    <t xml:space="preserve">QUARTA-FEIRA — 09/09/2026</t>
  </si>
  <si>
    <t xml:space="preserve">3. RESUMO DO DIA — QUARTA-FEIRA 09/09</t>
  </si>
  <si>
    <t xml:space="preserve">QUINTA-FEIRA — 10/09/2026</t>
  </si>
  <si>
    <t xml:space="preserve">Entrega de quentinhas</t>
  </si>
  <si>
    <t xml:space="preserve">3. RESUMO DO DIA — QUINTA-FEIRA 10/09</t>
  </si>
  <si>
    <t xml:space="preserve">Observação: Quentinha com entrega (R$ 10,00)</t>
  </si>
  <si>
    <t xml:space="preserve">SEXTA-FEIRA — 11/09/2026</t>
  </si>
  <si>
    <t xml:space="preserve">3. RESUMO DO DIA — SEXTA-FEIRA 11/09</t>
  </si>
  <si>
    <t xml:space="preserve">Observação: Quentinha com entrega (R$ 10,00). Encerramento da semana na sexta-feira</t>
  </si>
  <si>
    <t xml:space="preserve">RESUMO GERAL DA SEMANA — 07/09 A 11/09/2026</t>
  </si>
  <si>
    <t xml:space="preserve">1. FECHAMENTO POR DIA</t>
  </si>
  <si>
    <t xml:space="preserve">Dia</t>
  </si>
  <si>
    <t xml:space="preserve">Data</t>
  </si>
  <si>
    <t xml:space="preserve">Diárias</t>
  </si>
  <si>
    <t xml:space="preserve">Mão de Obra (R$)</t>
  </si>
  <si>
    <t xml:space="preserve">Quentinhas (un.)</t>
  </si>
  <si>
    <t xml:space="preserve">Alim. e outros (R$)</t>
  </si>
  <si>
    <t xml:space="preserve">Total do Dia (R$)</t>
  </si>
  <si>
    <t xml:space="preserve">Segunda</t>
  </si>
  <si>
    <t xml:space="preserve">Terça</t>
  </si>
  <si>
    <t xml:space="preserve">Quarta</t>
  </si>
  <si>
    <t xml:space="preserve">Quinta</t>
  </si>
  <si>
    <t xml:space="preserve">Sexta</t>
  </si>
  <si>
    <t xml:space="preserve">TOTAL DA SEMANA</t>
  </si>
  <si>
    <t xml:space="preserve">2. GASTOS POR FUNCIONÁRIO</t>
  </si>
  <si>
    <t xml:space="preserve">Diárias na Semana</t>
  </si>
  <si>
    <t xml:space="preserve">Total a Pagar (R$)</t>
  </si>
  <si>
    <t xml:space="preserve">TOTAL — MÃO DE OBRA DA SEMANA</t>
  </si>
  <si>
    <t xml:space="preserve">3. GASTOS COM QUENTINHAS — SEPARADO POR VALOR UNITÁRIO (E OUTROS CONSUMOS)</t>
  </si>
  <si>
    <t xml:space="preserve">Valor unitário / item</t>
  </si>
  <si>
    <t xml:space="preserve">Dias em que foi usado</t>
  </si>
  <si>
    <t xml:space="preserve">Quantidade (un.)</t>
  </si>
  <si>
    <t xml:space="preserve">Custo (R$)</t>
  </si>
  <si>
    <t xml:space="preserve">08/09, 09/09, 10/09, 11/09</t>
  </si>
  <si>
    <t xml:space="preserve">08/09, 09/09, 10/09, 11/09  (8 × R$ 6,00)</t>
  </si>
  <si>
    <t xml:space="preserve">10/09, 11/09  (2 × R$ 10,00)</t>
  </si>
  <si>
    <t xml:space="preserve">TOTAL — ALIMENTAÇÃO E OUTROS</t>
  </si>
  <si>
    <t xml:space="preserve">4. GASTO GERAL DA SEMANA</t>
  </si>
  <si>
    <t xml:space="preserve">Total de mão de obra</t>
  </si>
  <si>
    <t xml:space="preserve">Total de alimentação e outros</t>
  </si>
  <si>
    <t xml:space="preserve">GASTO GERAL DA SEMANA</t>
  </si>
  <si>
    <t xml:space="preserve">5. ACUMULADO DA OBRA</t>
  </si>
  <si>
    <t xml:space="preserve">Período</t>
  </si>
  <si>
    <t xml:space="preserve">Total (R$)</t>
  </si>
  <si>
    <t xml:space="preserve">Semana 1 — 20/07 a 25/07</t>
  </si>
  <si>
    <t xml:space="preserve">Semana 2 — 27/07 a 31/07</t>
  </si>
  <si>
    <t xml:space="preserve">Semana 3 — 03/08 a 07/08</t>
  </si>
  <si>
    <t xml:space="preserve">Semana 4 — 10/08 a 14/08</t>
  </si>
  <si>
    <t xml:space="preserve">Semana 5 — 17/08 a 20/08</t>
  </si>
  <si>
    <t xml:space="preserve">Semana 6 — 24/08 a 28/08</t>
  </si>
  <si>
    <t xml:space="preserve">Semana 7 — 31/08 a 04/09</t>
  </si>
  <si>
    <t xml:space="preserve">Semana 8 — 07/09 a 11/09</t>
  </si>
  <si>
    <t xml:space="preserve">TOTAL ACUMULADO DA OBRA</t>
  </si>
  <si>
    <t xml:space="preserve">Notas da semana: 07/09 — Feriado (Independência): expediente até meio-dia, diária integral e sem quentinha; 08/09 — Entrada de Francisco (pedreiro, R$ 160,00), Rufino e Carlos (serventes, R$ 100,00). Início da compra de gelo; 10/09 — Quentinha com entrega (R$ 10,00); 11/09 — Quentinha com entrega (R$ 10,00). Encerramento da semana na sexta-feira. Constam apenas os funcionários com presença na semana. Os totais de mão de obra dos blocos 1 e 2 devem ser idênticos.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</si>
</sst>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&quot;R$ &quot;#,##0.00;&quot;-R$ &quot;#,##0.00;\-"/>
    <numFmt numFmtId="167" formatCode="0.0;\-0.0;\-"/>
    <numFmt numFmtId="168" formatCode="0;\-0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40404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40404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D9E1F2"/>
        <bgColor rgb="FFEDEDED"/>
      </patternFill>
    </fill>
    <fill>
      <patternFill patternType="solid">
        <fgColor rgb="FF1F3864"/>
        <bgColor rgb="FF333399"/>
      </patternFill>
    </fill>
    <fill>
      <patternFill patternType="solid">
        <fgColor rgb="FFEDEDED"/>
        <bgColor rgb="FFD9E1F2"/>
      </patternFill>
    </fill>
    <fill>
      <patternFill patternType="solid">
        <fgColor rgb="FFC6E0B4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40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v>46272</v>
      </c>
      <c r="D4" s="5" t="s">
        <v>3</v>
      </c>
      <c r="E4" s="4" t="n">
        <v>46276</v>
      </c>
    </row>
    <row r="6" customFormat="false" ht="15" hidden="false" customHeight="false" outlineLevel="0" collapsed="false">
      <c r="A6" s="6" t="s">
        <v>4</v>
      </c>
      <c r="B6" s="6"/>
      <c r="C6" s="6"/>
      <c r="D6" s="6"/>
    </row>
    <row r="7" customFormat="false" ht="27.75" hidden="false" customHeight="true" outlineLevel="0" collapsed="false">
      <c r="A7" s="7" t="s">
        <v>5</v>
      </c>
      <c r="B7" s="7" t="s">
        <v>6</v>
      </c>
      <c r="C7" s="7" t="s">
        <v>7</v>
      </c>
      <c r="D7" s="7" t="s">
        <v>8</v>
      </c>
    </row>
    <row r="8" customFormat="false" ht="15" hidden="false" customHeight="false" outlineLevel="0" collapsed="false">
      <c r="A8" s="8" t="s">
        <v>9</v>
      </c>
      <c r="B8" s="8" t="s">
        <v>10</v>
      </c>
      <c r="C8" s="9" t="n">
        <v>200</v>
      </c>
      <c r="D8" s="10" t="s">
        <v>11</v>
      </c>
    </row>
    <row r="9" customFormat="false" ht="15" hidden="false" customHeight="false" outlineLevel="0" collapsed="false">
      <c r="A9" s="8" t="s">
        <v>12</v>
      </c>
      <c r="B9" s="8" t="s">
        <v>10</v>
      </c>
      <c r="C9" s="9" t="n">
        <v>160</v>
      </c>
      <c r="D9" s="10" t="s">
        <v>11</v>
      </c>
    </row>
    <row r="10" customFormat="false" ht="15" hidden="false" customHeight="false" outlineLevel="0" collapsed="false">
      <c r="A10" s="8" t="s">
        <v>13</v>
      </c>
      <c r="B10" s="8" t="s">
        <v>14</v>
      </c>
      <c r="C10" s="9" t="n">
        <v>100</v>
      </c>
      <c r="D10" s="10" t="s">
        <v>11</v>
      </c>
    </row>
    <row r="11" customFormat="false" ht="15" hidden="false" customHeight="false" outlineLevel="0" collapsed="false">
      <c r="A11" s="8" t="s">
        <v>15</v>
      </c>
      <c r="B11" s="8" t="s">
        <v>14</v>
      </c>
      <c r="C11" s="9" t="n">
        <v>100</v>
      </c>
      <c r="D11" s="10" t="s">
        <v>11</v>
      </c>
    </row>
    <row r="13" customFormat="false" ht="15" hidden="false" customHeight="false" outlineLevel="0" collapsed="false">
      <c r="A13" s="6" t="s">
        <v>16</v>
      </c>
      <c r="B13" s="6"/>
      <c r="C13" s="6"/>
      <c r="D13" s="6"/>
    </row>
    <row r="14" customFormat="false" ht="27.75" hidden="false" customHeight="true" outlineLevel="0" collapsed="false">
      <c r="A14" s="7" t="s">
        <v>17</v>
      </c>
      <c r="B14" s="7"/>
      <c r="C14" s="7" t="s">
        <v>18</v>
      </c>
      <c r="D14" s="7" t="s">
        <v>19</v>
      </c>
    </row>
    <row r="15" customFormat="false" ht="15" hidden="false" customHeight="false" outlineLevel="0" collapsed="false">
      <c r="A15" s="8" t="s">
        <v>20</v>
      </c>
      <c r="B15" s="8"/>
      <c r="C15" s="9" t="n">
        <v>22</v>
      </c>
      <c r="D15" s="10"/>
    </row>
    <row r="16" customFormat="false" ht="15" hidden="false" customHeight="false" outlineLevel="0" collapsed="false">
      <c r="A16" s="8" t="s">
        <v>21</v>
      </c>
      <c r="B16" s="8"/>
      <c r="C16" s="9" t="n">
        <v>15</v>
      </c>
      <c r="D16" s="10"/>
    </row>
    <row r="17" customFormat="false" ht="15" hidden="false" customHeight="false" outlineLevel="0" collapsed="false">
      <c r="A17" s="8" t="s">
        <v>22</v>
      </c>
      <c r="B17" s="8"/>
      <c r="C17" s="9" t="n">
        <v>22</v>
      </c>
      <c r="D17" s="10"/>
    </row>
    <row r="18" customFormat="false" ht="15" hidden="false" customHeight="false" outlineLevel="0" collapsed="false">
      <c r="A18" s="8" t="s">
        <v>23</v>
      </c>
      <c r="B18" s="8"/>
      <c r="C18" s="9" t="n">
        <v>15</v>
      </c>
      <c r="D18" s="10"/>
    </row>
    <row r="19" customFormat="false" ht="15" hidden="false" customHeight="false" outlineLevel="0" collapsed="false">
      <c r="A19" s="8" t="s">
        <v>24</v>
      </c>
      <c r="B19" s="8"/>
      <c r="C19" s="9" t="n">
        <v>18</v>
      </c>
      <c r="D19" s="10"/>
    </row>
    <row r="20" customFormat="false" ht="15" hidden="false" customHeight="false" outlineLevel="0" collapsed="false">
      <c r="A20" s="8" t="s">
        <v>25</v>
      </c>
      <c r="B20" s="8"/>
      <c r="C20" s="9" t="n">
        <v>22</v>
      </c>
      <c r="D20" s="10"/>
    </row>
    <row r="21" customFormat="false" ht="15" hidden="false" customHeight="false" outlineLevel="0" collapsed="false">
      <c r="A21" s="8" t="s">
        <v>26</v>
      </c>
      <c r="B21" s="8"/>
      <c r="C21" s="9" t="n">
        <v>18</v>
      </c>
      <c r="D21" s="10"/>
    </row>
    <row r="22" customFormat="false" ht="15" hidden="false" customHeight="false" outlineLevel="0" collapsed="false">
      <c r="A22" s="8" t="s">
        <v>27</v>
      </c>
      <c r="B22" s="8"/>
      <c r="C22" s="9" t="n">
        <v>22</v>
      </c>
      <c r="D22" s="10"/>
    </row>
    <row r="23" customFormat="false" ht="15" hidden="false" customHeight="false" outlineLevel="0" collapsed="false">
      <c r="A23" s="8" t="s">
        <v>28</v>
      </c>
      <c r="B23" s="8"/>
      <c r="C23" s="9" t="n">
        <v>18</v>
      </c>
      <c r="D23" s="10" t="s">
        <v>29</v>
      </c>
    </row>
    <row r="25" customFormat="false" ht="15" hidden="false" customHeight="false" outlineLevel="0" collapsed="false">
      <c r="A25" s="6" t="s">
        <v>30</v>
      </c>
      <c r="B25" s="6"/>
      <c r="C25" s="6"/>
      <c r="D25" s="6"/>
    </row>
    <row r="26" customFormat="false" ht="15" hidden="false" customHeight="false" outlineLevel="0" collapsed="false">
      <c r="A26" s="11" t="s">
        <v>31</v>
      </c>
    </row>
    <row r="27" customFormat="false" ht="15" hidden="false" customHeight="false" outlineLevel="0" collapsed="false">
      <c r="A27" s="11" t="s">
        <v>32</v>
      </c>
    </row>
    <row r="28" customFormat="false" ht="15" hidden="false" customHeight="false" outlineLevel="0" collapsed="false">
      <c r="A28" s="11" t="s">
        <v>33</v>
      </c>
    </row>
    <row r="29" customFormat="false" ht="15" hidden="false" customHeight="false" outlineLevel="0" collapsed="false">
      <c r="A29" s="11" t="s">
        <v>34</v>
      </c>
    </row>
    <row r="30" customFormat="false" ht="15" hidden="false" customHeight="false" outlineLevel="0" collapsed="false">
      <c r="A30" s="11" t="s">
        <v>35</v>
      </c>
    </row>
    <row r="31" customFormat="false" ht="15" hidden="false" customHeight="false" outlineLevel="0" collapsed="false">
      <c r="A31" s="11" t="s">
        <v>36</v>
      </c>
    </row>
    <row r="32" customFormat="false" ht="15" hidden="false" customHeight="false" outlineLevel="0" collapsed="false">
      <c r="A32" s="11" t="s">
        <v>37</v>
      </c>
    </row>
  </sheetData>
  <mergeCells count="12">
    <mergeCell ref="A6:D6"/>
    <mergeCell ref="A13:D13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9"/>
  </cols>
  <sheetData>
    <row r="1" customFormat="false" ht="16.15" hidden="false" customHeight="false" outlineLevel="0" collapsed="false">
      <c r="A1" s="12" t="s">
        <v>38</v>
      </c>
      <c r="B1" s="12"/>
      <c r="C1" s="12"/>
      <c r="D1" s="12"/>
      <c r="E1" s="12"/>
    </row>
    <row r="2" customFormat="false" ht="15" hidden="false" customHeight="false" outlineLevel="0" collapsed="false">
      <c r="A2" s="13" t="s">
        <v>1</v>
      </c>
      <c r="B2" s="13"/>
      <c r="C2" s="13"/>
      <c r="D2" s="13"/>
      <c r="E2" s="13"/>
    </row>
    <row r="4" customFormat="false" ht="15" hidden="false" customHeight="false" outlineLevel="0" collapsed="false">
      <c r="A4" s="6" t="s">
        <v>39</v>
      </c>
      <c r="B4" s="6"/>
      <c r="C4" s="6"/>
      <c r="D4" s="6"/>
      <c r="E4" s="6"/>
    </row>
    <row r="5" customFormat="false" ht="25.5" hidden="false" customHeight="true" outlineLevel="0" collapsed="false">
      <c r="A5" s="7" t="s">
        <v>5</v>
      </c>
      <c r="B5" s="7" t="s">
        <v>6</v>
      </c>
      <c r="C5" s="7" t="s">
        <v>7</v>
      </c>
      <c r="D5" s="7" t="s">
        <v>40</v>
      </c>
      <c r="E5" s="7" t="s">
        <v>41</v>
      </c>
    </row>
    <row r="6" customFormat="false" ht="15" hidden="false" customHeight="false" outlineLevel="0" collapsed="false">
      <c r="A6" s="8" t="s">
        <v>9</v>
      </c>
      <c r="B6" s="8" t="s">
        <v>10</v>
      </c>
      <c r="C6" s="14" t="n">
        <f aca="false">Parâmetros!$C$8</f>
        <v>200</v>
      </c>
      <c r="D6" s="15" t="n">
        <v>1</v>
      </c>
      <c r="E6" s="16" t="n">
        <f aca="false">C6*D6</f>
        <v>200</v>
      </c>
    </row>
    <row r="7" customFormat="false" ht="15" hidden="false" customHeight="false" outlineLevel="0" collapsed="false">
      <c r="A7" s="8" t="s">
        <v>12</v>
      </c>
      <c r="B7" s="8" t="s">
        <v>10</v>
      </c>
      <c r="C7" s="14" t="n">
        <f aca="false">Parâmetros!$C$9</f>
        <v>160</v>
      </c>
      <c r="D7" s="15"/>
      <c r="E7" s="16" t="n">
        <f aca="false">C7*D7</f>
        <v>0</v>
      </c>
    </row>
    <row r="8" customFormat="false" ht="15" hidden="false" customHeight="false" outlineLevel="0" collapsed="false">
      <c r="A8" s="8" t="s">
        <v>13</v>
      </c>
      <c r="B8" s="8" t="s">
        <v>14</v>
      </c>
      <c r="C8" s="14" t="n">
        <f aca="false">Parâmetros!$C$10</f>
        <v>100</v>
      </c>
      <c r="D8" s="15"/>
      <c r="E8" s="16" t="n">
        <f aca="false">C8*D8</f>
        <v>0</v>
      </c>
    </row>
    <row r="9" customFormat="false" ht="15" hidden="false" customHeight="false" outlineLevel="0" collapsed="false">
      <c r="A9" s="8" t="s">
        <v>15</v>
      </c>
      <c r="B9" s="8" t="s">
        <v>14</v>
      </c>
      <c r="C9" s="14" t="n">
        <f aca="false">Parâmetros!$C$11</f>
        <v>100</v>
      </c>
      <c r="D9" s="15"/>
      <c r="E9" s="16" t="n">
        <f aca="false">C9*D9</f>
        <v>0</v>
      </c>
    </row>
    <row r="10" customFormat="false" ht="15" hidden="false" customHeight="false" outlineLevel="0" collapsed="false">
      <c r="A10" s="17" t="s">
        <v>42</v>
      </c>
      <c r="B10" s="17"/>
      <c r="C10" s="18" t="s">
        <v>43</v>
      </c>
      <c r="D10" s="19" t="n">
        <f aca="false">SUM(D6:D9)</f>
        <v>1</v>
      </c>
      <c r="E10" s="20" t="n">
        <f aca="false">SUM(E6:E9)</f>
        <v>200</v>
      </c>
    </row>
    <row r="12" customFormat="false" ht="15" hidden="false" customHeight="false" outlineLevel="0" collapsed="false">
      <c r="A12" s="6" t="s">
        <v>44</v>
      </c>
      <c r="B12" s="6"/>
      <c r="C12" s="6"/>
      <c r="D12" s="6"/>
      <c r="E12" s="6"/>
    </row>
    <row r="13" customFormat="false" ht="25.5" hidden="false" customHeight="true" outlineLevel="0" collapsed="false">
      <c r="A13" s="7" t="s">
        <v>45</v>
      </c>
      <c r="B13" s="7"/>
      <c r="C13" s="7" t="s">
        <v>18</v>
      </c>
      <c r="D13" s="7" t="s">
        <v>46</v>
      </c>
      <c r="E13" s="7" t="s">
        <v>47</v>
      </c>
    </row>
    <row r="14" customFormat="false" ht="15" hidden="false" customHeight="false" outlineLevel="0" collapsed="false">
      <c r="A14" s="8" t="s">
        <v>48</v>
      </c>
      <c r="B14" s="8"/>
      <c r="C14" s="9" t="n">
        <v>18</v>
      </c>
      <c r="D14" s="21" t="n">
        <v>0</v>
      </c>
      <c r="E14" s="16" t="n">
        <f aca="false">C14*D14</f>
        <v>0</v>
      </c>
    </row>
    <row r="16" customFormat="false" ht="15" hidden="false" customHeight="false" outlineLevel="0" collapsed="false">
      <c r="A16" s="6" t="s">
        <v>49</v>
      </c>
      <c r="B16" s="6"/>
      <c r="C16" s="6"/>
      <c r="D16" s="6"/>
      <c r="E16" s="6"/>
    </row>
    <row r="17" customFormat="false" ht="15" hidden="false" customHeight="false" outlineLevel="0" collapsed="false">
      <c r="A17" s="8" t="s">
        <v>50</v>
      </c>
      <c r="B17" s="8"/>
      <c r="C17" s="8"/>
      <c r="D17" s="8"/>
      <c r="E17" s="22" t="n">
        <f aca="false">D10</f>
        <v>1</v>
      </c>
    </row>
    <row r="18" customFormat="false" ht="15" hidden="false" customHeight="false" outlineLevel="0" collapsed="false">
      <c r="A18" s="8" t="s">
        <v>51</v>
      </c>
      <c r="B18" s="8"/>
      <c r="C18" s="8"/>
      <c r="D18" s="8"/>
      <c r="E18" s="23" t="n">
        <f aca="false">D14</f>
        <v>0</v>
      </c>
    </row>
    <row r="19" customFormat="false" ht="15" hidden="false" customHeight="false" outlineLevel="0" collapsed="false">
      <c r="A19" s="8" t="s">
        <v>52</v>
      </c>
      <c r="B19" s="8"/>
      <c r="C19" s="8"/>
      <c r="D19" s="8"/>
      <c r="E19" s="16" t="n">
        <f aca="false">E10</f>
        <v>200</v>
      </c>
    </row>
    <row r="20" customFormat="false" ht="15" hidden="false" customHeight="false" outlineLevel="0" collapsed="false">
      <c r="A20" s="8" t="s">
        <v>53</v>
      </c>
      <c r="B20" s="8"/>
      <c r="C20" s="8"/>
      <c r="D20" s="8"/>
      <c r="E20" s="16" t="n">
        <f aca="false">E14</f>
        <v>0</v>
      </c>
    </row>
    <row r="21" customFormat="false" ht="15" hidden="false" customHeight="false" outlineLevel="0" collapsed="false">
      <c r="A21" s="24" t="s">
        <v>54</v>
      </c>
      <c r="B21" s="24"/>
      <c r="C21" s="24"/>
      <c r="D21" s="24"/>
      <c r="E21" s="25" t="n">
        <f aca="false">E19+E20</f>
        <v>200</v>
      </c>
    </row>
    <row r="23" customFormat="false" ht="15" hidden="false" customHeight="true" outlineLevel="0" collapsed="false">
      <c r="A23" s="26" t="s">
        <v>55</v>
      </c>
      <c r="B23" s="26"/>
      <c r="C23" s="26"/>
      <c r="D23" s="26"/>
      <c r="E23" s="26"/>
    </row>
    <row r="24" customFormat="false" ht="15" hidden="false" customHeight="false" outlineLevel="0" collapsed="false">
      <c r="A24" s="26"/>
      <c r="B24" s="26"/>
      <c r="C24" s="26"/>
      <c r="D24" s="26"/>
      <c r="E24" s="26"/>
    </row>
  </sheetData>
  <mergeCells count="13">
    <mergeCell ref="A1:E1"/>
    <mergeCell ref="A2:E2"/>
    <mergeCell ref="A4:E4"/>
    <mergeCell ref="A10:B10"/>
    <mergeCell ref="A12:E12"/>
    <mergeCell ref="A14:B14"/>
    <mergeCell ref="A16:E16"/>
    <mergeCell ref="A17:D17"/>
    <mergeCell ref="A18:D18"/>
    <mergeCell ref="A19:D19"/>
    <mergeCell ref="A20:D20"/>
    <mergeCell ref="A21:D21"/>
    <mergeCell ref="A23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9"/>
  </cols>
  <sheetData>
    <row r="1" customFormat="false" ht="16.15" hidden="false" customHeight="false" outlineLevel="0" collapsed="false">
      <c r="A1" s="12" t="s">
        <v>56</v>
      </c>
      <c r="B1" s="12"/>
      <c r="C1" s="12"/>
      <c r="D1" s="12"/>
      <c r="E1" s="12"/>
    </row>
    <row r="2" customFormat="false" ht="15" hidden="false" customHeight="false" outlineLevel="0" collapsed="false">
      <c r="A2" s="13" t="s">
        <v>1</v>
      </c>
      <c r="B2" s="13"/>
      <c r="C2" s="13"/>
      <c r="D2" s="13"/>
      <c r="E2" s="13"/>
    </row>
    <row r="4" customFormat="false" ht="15" hidden="false" customHeight="false" outlineLevel="0" collapsed="false">
      <c r="A4" s="6" t="s">
        <v>39</v>
      </c>
      <c r="B4" s="6"/>
      <c r="C4" s="6"/>
      <c r="D4" s="6"/>
      <c r="E4" s="6"/>
    </row>
    <row r="5" customFormat="false" ht="25.5" hidden="false" customHeight="true" outlineLevel="0" collapsed="false">
      <c r="A5" s="7" t="s">
        <v>5</v>
      </c>
      <c r="B5" s="7" t="s">
        <v>6</v>
      </c>
      <c r="C5" s="7" t="s">
        <v>7</v>
      </c>
      <c r="D5" s="7" t="s">
        <v>40</v>
      </c>
      <c r="E5" s="7" t="s">
        <v>41</v>
      </c>
    </row>
    <row r="6" customFormat="false" ht="15" hidden="false" customHeight="false" outlineLevel="0" collapsed="false">
      <c r="A6" s="8" t="s">
        <v>9</v>
      </c>
      <c r="B6" s="8" t="s">
        <v>10</v>
      </c>
      <c r="C6" s="14" t="n">
        <f aca="false">Parâmetros!$C$8</f>
        <v>200</v>
      </c>
      <c r="D6" s="15" t="n">
        <v>1</v>
      </c>
      <c r="E6" s="16" t="n">
        <f aca="false">C6*D6</f>
        <v>200</v>
      </c>
    </row>
    <row r="7" customFormat="false" ht="15" hidden="false" customHeight="false" outlineLevel="0" collapsed="false">
      <c r="A7" s="8" t="s">
        <v>12</v>
      </c>
      <c r="B7" s="8" t="s">
        <v>10</v>
      </c>
      <c r="C7" s="14" t="n">
        <f aca="false">Parâmetros!$C$9</f>
        <v>160</v>
      </c>
      <c r="D7" s="15" t="n">
        <v>1</v>
      </c>
      <c r="E7" s="16" t="n">
        <f aca="false">C7*D7</f>
        <v>160</v>
      </c>
    </row>
    <row r="8" customFormat="false" ht="15" hidden="false" customHeight="false" outlineLevel="0" collapsed="false">
      <c r="A8" s="8" t="s">
        <v>13</v>
      </c>
      <c r="B8" s="8" t="s">
        <v>14</v>
      </c>
      <c r="C8" s="14" t="n">
        <f aca="false">Parâmetros!$C$10</f>
        <v>100</v>
      </c>
      <c r="D8" s="15" t="n">
        <v>1</v>
      </c>
      <c r="E8" s="16" t="n">
        <f aca="false">C8*D8</f>
        <v>100</v>
      </c>
    </row>
    <row r="9" customFormat="false" ht="15" hidden="false" customHeight="false" outlineLevel="0" collapsed="false">
      <c r="A9" s="8" t="s">
        <v>15</v>
      </c>
      <c r="B9" s="8" t="s">
        <v>14</v>
      </c>
      <c r="C9" s="14" t="n">
        <f aca="false">Parâmetros!$C$11</f>
        <v>100</v>
      </c>
      <c r="D9" s="15" t="n">
        <v>1</v>
      </c>
      <c r="E9" s="16" t="n">
        <f aca="false">C9*D9</f>
        <v>100</v>
      </c>
    </row>
    <row r="10" customFormat="false" ht="15" hidden="false" customHeight="false" outlineLevel="0" collapsed="false">
      <c r="A10" s="17" t="s">
        <v>42</v>
      </c>
      <c r="B10" s="17"/>
      <c r="C10" s="18" t="s">
        <v>43</v>
      </c>
      <c r="D10" s="19" t="n">
        <f aca="false">SUM(D6:D9)</f>
        <v>4</v>
      </c>
      <c r="E10" s="20" t="n">
        <f aca="false">SUM(E6:E9)</f>
        <v>560</v>
      </c>
    </row>
    <row r="12" customFormat="false" ht="15" hidden="false" customHeight="false" outlineLevel="0" collapsed="false">
      <c r="A12" s="6" t="s">
        <v>44</v>
      </c>
      <c r="B12" s="6"/>
      <c r="C12" s="6"/>
      <c r="D12" s="6"/>
      <c r="E12" s="6"/>
    </row>
    <row r="13" customFormat="false" ht="25.5" hidden="false" customHeight="true" outlineLevel="0" collapsed="false">
      <c r="A13" s="7" t="s">
        <v>45</v>
      </c>
      <c r="B13" s="7"/>
      <c r="C13" s="7" t="s">
        <v>18</v>
      </c>
      <c r="D13" s="7" t="s">
        <v>46</v>
      </c>
      <c r="E13" s="7" t="s">
        <v>47</v>
      </c>
    </row>
    <row r="14" customFormat="false" ht="15" hidden="false" customHeight="false" outlineLevel="0" collapsed="false">
      <c r="A14" s="8" t="s">
        <v>48</v>
      </c>
      <c r="B14" s="8"/>
      <c r="C14" s="9" t="n">
        <v>18</v>
      </c>
      <c r="D14" s="21" t="n">
        <v>4</v>
      </c>
      <c r="E14" s="16" t="n">
        <f aca="false">C14*D14</f>
        <v>72</v>
      </c>
    </row>
    <row r="15" customFormat="false" ht="15" hidden="false" customHeight="false" outlineLevel="0" collapsed="false">
      <c r="A15" s="8" t="s">
        <v>57</v>
      </c>
      <c r="B15" s="8"/>
      <c r="C15" s="9" t="n">
        <v>6</v>
      </c>
      <c r="D15" s="21" t="n">
        <v>2</v>
      </c>
      <c r="E15" s="16" t="n">
        <f aca="false">C15*D15</f>
        <v>12</v>
      </c>
    </row>
    <row r="16" customFormat="false" ht="15" hidden="false" customHeight="false" outlineLevel="0" collapsed="false">
      <c r="A16" s="17" t="s">
        <v>58</v>
      </c>
      <c r="B16" s="17"/>
      <c r="C16" s="17"/>
      <c r="D16" s="17"/>
      <c r="E16" s="20" t="n">
        <f aca="false">SUM(E14:E15)</f>
        <v>84</v>
      </c>
    </row>
    <row r="18" customFormat="false" ht="15" hidden="false" customHeight="false" outlineLevel="0" collapsed="false">
      <c r="A18" s="6" t="s">
        <v>59</v>
      </c>
      <c r="B18" s="6"/>
      <c r="C18" s="6"/>
      <c r="D18" s="6"/>
      <c r="E18" s="6"/>
    </row>
    <row r="19" customFormat="false" ht="15" hidden="false" customHeight="false" outlineLevel="0" collapsed="false">
      <c r="A19" s="8" t="s">
        <v>50</v>
      </c>
      <c r="B19" s="8"/>
      <c r="C19" s="8"/>
      <c r="D19" s="8"/>
      <c r="E19" s="22" t="n">
        <f aca="false">D10</f>
        <v>4</v>
      </c>
    </row>
    <row r="20" customFormat="false" ht="15" hidden="false" customHeight="false" outlineLevel="0" collapsed="false">
      <c r="A20" s="8" t="s">
        <v>51</v>
      </c>
      <c r="B20" s="8"/>
      <c r="C20" s="8"/>
      <c r="D20" s="8"/>
      <c r="E20" s="23" t="n">
        <f aca="false">D14</f>
        <v>4</v>
      </c>
    </row>
    <row r="21" customFormat="false" ht="15" hidden="false" customHeight="false" outlineLevel="0" collapsed="false">
      <c r="A21" s="8" t="s">
        <v>52</v>
      </c>
      <c r="B21" s="8"/>
      <c r="C21" s="8"/>
      <c r="D21" s="8"/>
      <c r="E21" s="16" t="n">
        <f aca="false">E10</f>
        <v>560</v>
      </c>
    </row>
    <row r="22" customFormat="false" ht="15" hidden="false" customHeight="false" outlineLevel="0" collapsed="false">
      <c r="A22" s="8" t="s">
        <v>60</v>
      </c>
      <c r="B22" s="8"/>
      <c r="C22" s="8"/>
      <c r="D22" s="8"/>
      <c r="E22" s="16" t="n">
        <f aca="false">E16</f>
        <v>84</v>
      </c>
    </row>
    <row r="23" customFormat="false" ht="15" hidden="false" customHeight="false" outlineLevel="0" collapsed="false">
      <c r="A23" s="24" t="s">
        <v>54</v>
      </c>
      <c r="B23" s="24"/>
      <c r="C23" s="24"/>
      <c r="D23" s="24"/>
      <c r="E23" s="25" t="n">
        <f aca="false">E21+E22</f>
        <v>644</v>
      </c>
    </row>
    <row r="25" customFormat="false" ht="15" hidden="false" customHeight="true" outlineLevel="0" collapsed="false">
      <c r="A25" s="26" t="s">
        <v>61</v>
      </c>
      <c r="B25" s="26"/>
      <c r="C25" s="26"/>
      <c r="D25" s="26"/>
      <c r="E25" s="26"/>
    </row>
    <row r="26" customFormat="false" ht="15" hidden="false" customHeight="false" outlineLevel="0" collapsed="false">
      <c r="A26" s="26"/>
      <c r="B26" s="26"/>
      <c r="C26" s="26"/>
      <c r="D26" s="26"/>
      <c r="E26" s="26"/>
    </row>
  </sheetData>
  <mergeCells count="15">
    <mergeCell ref="A1:E1"/>
    <mergeCell ref="A2:E2"/>
    <mergeCell ref="A4:E4"/>
    <mergeCell ref="A10:B10"/>
    <mergeCell ref="A12:E12"/>
    <mergeCell ref="A14:B14"/>
    <mergeCell ref="A15:B15"/>
    <mergeCell ref="A16:D16"/>
    <mergeCell ref="A18:E18"/>
    <mergeCell ref="A19:D19"/>
    <mergeCell ref="A20:D20"/>
    <mergeCell ref="A21:D21"/>
    <mergeCell ref="A22:D22"/>
    <mergeCell ref="A23:D23"/>
    <mergeCell ref="A25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9"/>
  </cols>
  <sheetData>
    <row r="1" customFormat="false" ht="16.15" hidden="false" customHeight="false" outlineLevel="0" collapsed="false">
      <c r="A1" s="12" t="s">
        <v>62</v>
      </c>
      <c r="B1" s="12"/>
      <c r="C1" s="12"/>
      <c r="D1" s="12"/>
      <c r="E1" s="12"/>
    </row>
    <row r="2" customFormat="false" ht="15" hidden="false" customHeight="false" outlineLevel="0" collapsed="false">
      <c r="A2" s="13" t="s">
        <v>1</v>
      </c>
      <c r="B2" s="13"/>
      <c r="C2" s="13"/>
      <c r="D2" s="13"/>
      <c r="E2" s="13"/>
    </row>
    <row r="4" customFormat="false" ht="15" hidden="false" customHeight="false" outlineLevel="0" collapsed="false">
      <c r="A4" s="6" t="s">
        <v>39</v>
      </c>
      <c r="B4" s="6"/>
      <c r="C4" s="6"/>
      <c r="D4" s="6"/>
      <c r="E4" s="6"/>
    </row>
    <row r="5" customFormat="false" ht="25.5" hidden="false" customHeight="true" outlineLevel="0" collapsed="false">
      <c r="A5" s="7" t="s">
        <v>5</v>
      </c>
      <c r="B5" s="7" t="s">
        <v>6</v>
      </c>
      <c r="C5" s="7" t="s">
        <v>7</v>
      </c>
      <c r="D5" s="7" t="s">
        <v>40</v>
      </c>
      <c r="E5" s="7" t="s">
        <v>41</v>
      </c>
    </row>
    <row r="6" customFormat="false" ht="15" hidden="false" customHeight="false" outlineLevel="0" collapsed="false">
      <c r="A6" s="8" t="s">
        <v>9</v>
      </c>
      <c r="B6" s="8" t="s">
        <v>10</v>
      </c>
      <c r="C6" s="14" t="n">
        <f aca="false">Parâmetros!$C$8</f>
        <v>200</v>
      </c>
      <c r="D6" s="15" t="n">
        <v>1</v>
      </c>
      <c r="E6" s="16" t="n">
        <f aca="false">C6*D6</f>
        <v>200</v>
      </c>
    </row>
    <row r="7" customFormat="false" ht="15" hidden="false" customHeight="false" outlineLevel="0" collapsed="false">
      <c r="A7" s="8" t="s">
        <v>12</v>
      </c>
      <c r="B7" s="8" t="s">
        <v>10</v>
      </c>
      <c r="C7" s="14" t="n">
        <f aca="false">Parâmetros!$C$9</f>
        <v>160</v>
      </c>
      <c r="D7" s="15" t="n">
        <v>1</v>
      </c>
      <c r="E7" s="16" t="n">
        <f aca="false">C7*D7</f>
        <v>160</v>
      </c>
    </row>
    <row r="8" customFormat="false" ht="15" hidden="false" customHeight="false" outlineLevel="0" collapsed="false">
      <c r="A8" s="8" t="s">
        <v>13</v>
      </c>
      <c r="B8" s="8" t="s">
        <v>14</v>
      </c>
      <c r="C8" s="14" t="n">
        <f aca="false">Parâmetros!$C$10</f>
        <v>100</v>
      </c>
      <c r="D8" s="15" t="n">
        <v>1</v>
      </c>
      <c r="E8" s="16" t="n">
        <f aca="false">C8*D8</f>
        <v>100</v>
      </c>
    </row>
    <row r="9" customFormat="false" ht="15" hidden="false" customHeight="false" outlineLevel="0" collapsed="false">
      <c r="A9" s="8" t="s">
        <v>15</v>
      </c>
      <c r="B9" s="8" t="s">
        <v>14</v>
      </c>
      <c r="C9" s="14" t="n">
        <f aca="false">Parâmetros!$C$11</f>
        <v>100</v>
      </c>
      <c r="D9" s="15" t="n">
        <v>1</v>
      </c>
      <c r="E9" s="16" t="n">
        <f aca="false">C9*D9</f>
        <v>100</v>
      </c>
    </row>
    <row r="10" customFormat="false" ht="15" hidden="false" customHeight="false" outlineLevel="0" collapsed="false">
      <c r="A10" s="17" t="s">
        <v>42</v>
      </c>
      <c r="B10" s="17"/>
      <c r="C10" s="18" t="s">
        <v>43</v>
      </c>
      <c r="D10" s="19" t="n">
        <f aca="false">SUM(D6:D9)</f>
        <v>4</v>
      </c>
      <c r="E10" s="20" t="n">
        <f aca="false">SUM(E6:E9)</f>
        <v>560</v>
      </c>
    </row>
    <row r="12" customFormat="false" ht="15" hidden="false" customHeight="false" outlineLevel="0" collapsed="false">
      <c r="A12" s="6" t="s">
        <v>44</v>
      </c>
      <c r="B12" s="6"/>
      <c r="C12" s="6"/>
      <c r="D12" s="6"/>
      <c r="E12" s="6"/>
    </row>
    <row r="13" customFormat="false" ht="25.5" hidden="false" customHeight="true" outlineLevel="0" collapsed="false">
      <c r="A13" s="7" t="s">
        <v>45</v>
      </c>
      <c r="B13" s="7"/>
      <c r="C13" s="7" t="s">
        <v>18</v>
      </c>
      <c r="D13" s="7" t="s">
        <v>46</v>
      </c>
      <c r="E13" s="7" t="s">
        <v>47</v>
      </c>
    </row>
    <row r="14" customFormat="false" ht="15" hidden="false" customHeight="false" outlineLevel="0" collapsed="false">
      <c r="A14" s="8" t="s">
        <v>48</v>
      </c>
      <c r="B14" s="8"/>
      <c r="C14" s="9" t="n">
        <v>18</v>
      </c>
      <c r="D14" s="21" t="n">
        <v>4</v>
      </c>
      <c r="E14" s="16" t="n">
        <f aca="false">C14*D14</f>
        <v>72</v>
      </c>
    </row>
    <row r="15" customFormat="false" ht="15" hidden="false" customHeight="false" outlineLevel="0" collapsed="false">
      <c r="A15" s="8" t="s">
        <v>57</v>
      </c>
      <c r="B15" s="8"/>
      <c r="C15" s="9" t="n">
        <v>6</v>
      </c>
      <c r="D15" s="21" t="n">
        <v>2</v>
      </c>
      <c r="E15" s="16" t="n">
        <f aca="false">C15*D15</f>
        <v>12</v>
      </c>
    </row>
    <row r="16" customFormat="false" ht="15" hidden="false" customHeight="false" outlineLevel="0" collapsed="false">
      <c r="A16" s="17" t="s">
        <v>58</v>
      </c>
      <c r="B16" s="17"/>
      <c r="C16" s="17"/>
      <c r="D16" s="17"/>
      <c r="E16" s="20" t="n">
        <f aca="false">SUM(E14:E15)</f>
        <v>84</v>
      </c>
    </row>
    <row r="18" customFormat="false" ht="15" hidden="false" customHeight="false" outlineLevel="0" collapsed="false">
      <c r="A18" s="6" t="s">
        <v>63</v>
      </c>
      <c r="B18" s="6"/>
      <c r="C18" s="6"/>
      <c r="D18" s="6"/>
      <c r="E18" s="6"/>
    </row>
    <row r="19" customFormat="false" ht="15" hidden="false" customHeight="false" outlineLevel="0" collapsed="false">
      <c r="A19" s="8" t="s">
        <v>50</v>
      </c>
      <c r="B19" s="8"/>
      <c r="C19" s="8"/>
      <c r="D19" s="8"/>
      <c r="E19" s="22" t="n">
        <f aca="false">D10</f>
        <v>4</v>
      </c>
    </row>
    <row r="20" customFormat="false" ht="15" hidden="false" customHeight="false" outlineLevel="0" collapsed="false">
      <c r="A20" s="8" t="s">
        <v>51</v>
      </c>
      <c r="B20" s="8"/>
      <c r="C20" s="8"/>
      <c r="D20" s="8"/>
      <c r="E20" s="23" t="n">
        <f aca="false">D14</f>
        <v>4</v>
      </c>
    </row>
    <row r="21" customFormat="false" ht="15" hidden="false" customHeight="false" outlineLevel="0" collapsed="false">
      <c r="A21" s="8" t="s">
        <v>52</v>
      </c>
      <c r="B21" s="8"/>
      <c r="C21" s="8"/>
      <c r="D21" s="8"/>
      <c r="E21" s="16" t="n">
        <f aca="false">E10</f>
        <v>560</v>
      </c>
    </row>
    <row r="22" customFormat="false" ht="15" hidden="false" customHeight="false" outlineLevel="0" collapsed="false">
      <c r="A22" s="8" t="s">
        <v>60</v>
      </c>
      <c r="B22" s="8"/>
      <c r="C22" s="8"/>
      <c r="D22" s="8"/>
      <c r="E22" s="16" t="n">
        <f aca="false">E16</f>
        <v>84</v>
      </c>
    </row>
    <row r="23" customFormat="false" ht="15" hidden="false" customHeight="false" outlineLevel="0" collapsed="false">
      <c r="A23" s="24" t="s">
        <v>54</v>
      </c>
      <c r="B23" s="24"/>
      <c r="C23" s="24"/>
      <c r="D23" s="24"/>
      <c r="E23" s="25" t="n">
        <f aca="false">E21+E22</f>
        <v>644</v>
      </c>
    </row>
  </sheetData>
  <mergeCells count="14">
    <mergeCell ref="A1:E1"/>
    <mergeCell ref="A2:E2"/>
    <mergeCell ref="A4:E4"/>
    <mergeCell ref="A10:B10"/>
    <mergeCell ref="A12:E12"/>
    <mergeCell ref="A14:B14"/>
    <mergeCell ref="A15:B15"/>
    <mergeCell ref="A16:D16"/>
    <mergeCell ref="A18:E18"/>
    <mergeCell ref="A19:D19"/>
    <mergeCell ref="A20:D20"/>
    <mergeCell ref="A21:D21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9"/>
  </cols>
  <sheetData>
    <row r="1" customFormat="false" ht="16.15" hidden="false" customHeight="false" outlineLevel="0" collapsed="false">
      <c r="A1" s="12" t="s">
        <v>64</v>
      </c>
      <c r="B1" s="12"/>
      <c r="C1" s="12"/>
      <c r="D1" s="12"/>
      <c r="E1" s="12"/>
    </row>
    <row r="2" customFormat="false" ht="15" hidden="false" customHeight="false" outlineLevel="0" collapsed="false">
      <c r="A2" s="13" t="s">
        <v>1</v>
      </c>
      <c r="B2" s="13"/>
      <c r="C2" s="13"/>
      <c r="D2" s="13"/>
      <c r="E2" s="13"/>
    </row>
    <row r="4" customFormat="false" ht="15" hidden="false" customHeight="false" outlineLevel="0" collapsed="false">
      <c r="A4" s="6" t="s">
        <v>39</v>
      </c>
      <c r="B4" s="6"/>
      <c r="C4" s="6"/>
      <c r="D4" s="6"/>
      <c r="E4" s="6"/>
    </row>
    <row r="5" customFormat="false" ht="25.5" hidden="false" customHeight="true" outlineLevel="0" collapsed="false">
      <c r="A5" s="7" t="s">
        <v>5</v>
      </c>
      <c r="B5" s="7" t="s">
        <v>6</v>
      </c>
      <c r="C5" s="7" t="s">
        <v>7</v>
      </c>
      <c r="D5" s="7" t="s">
        <v>40</v>
      </c>
      <c r="E5" s="7" t="s">
        <v>41</v>
      </c>
    </row>
    <row r="6" customFormat="false" ht="15" hidden="false" customHeight="false" outlineLevel="0" collapsed="false">
      <c r="A6" s="8" t="s">
        <v>9</v>
      </c>
      <c r="B6" s="8" t="s">
        <v>10</v>
      </c>
      <c r="C6" s="14" t="n">
        <f aca="false">Parâmetros!$C$8</f>
        <v>200</v>
      </c>
      <c r="D6" s="15" t="n">
        <v>1</v>
      </c>
      <c r="E6" s="16" t="n">
        <f aca="false">C6*D6</f>
        <v>200</v>
      </c>
    </row>
    <row r="7" customFormat="false" ht="15" hidden="false" customHeight="false" outlineLevel="0" collapsed="false">
      <c r="A7" s="8" t="s">
        <v>12</v>
      </c>
      <c r="B7" s="8" t="s">
        <v>10</v>
      </c>
      <c r="C7" s="14" t="n">
        <f aca="false">Parâmetros!$C$9</f>
        <v>160</v>
      </c>
      <c r="D7" s="15" t="n">
        <v>1</v>
      </c>
      <c r="E7" s="16" t="n">
        <f aca="false">C7*D7</f>
        <v>160</v>
      </c>
    </row>
    <row r="8" customFormat="false" ht="15" hidden="false" customHeight="false" outlineLevel="0" collapsed="false">
      <c r="A8" s="8" t="s">
        <v>13</v>
      </c>
      <c r="B8" s="8" t="s">
        <v>14</v>
      </c>
      <c r="C8" s="14" t="n">
        <f aca="false">Parâmetros!$C$10</f>
        <v>100</v>
      </c>
      <c r="D8" s="15" t="n">
        <v>1</v>
      </c>
      <c r="E8" s="16" t="n">
        <f aca="false">C8*D8</f>
        <v>100</v>
      </c>
    </row>
    <row r="9" customFormat="false" ht="15" hidden="false" customHeight="false" outlineLevel="0" collapsed="false">
      <c r="A9" s="8" t="s">
        <v>15</v>
      </c>
      <c r="B9" s="8" t="s">
        <v>14</v>
      </c>
      <c r="C9" s="14" t="n">
        <f aca="false">Parâmetros!$C$11</f>
        <v>100</v>
      </c>
      <c r="D9" s="15" t="n">
        <v>1</v>
      </c>
      <c r="E9" s="16" t="n">
        <f aca="false">C9*D9</f>
        <v>100</v>
      </c>
    </row>
    <row r="10" customFormat="false" ht="15" hidden="false" customHeight="false" outlineLevel="0" collapsed="false">
      <c r="A10" s="17" t="s">
        <v>42</v>
      </c>
      <c r="B10" s="17"/>
      <c r="C10" s="18" t="s">
        <v>43</v>
      </c>
      <c r="D10" s="19" t="n">
        <f aca="false">SUM(D6:D9)</f>
        <v>4</v>
      </c>
      <c r="E10" s="20" t="n">
        <f aca="false">SUM(E6:E9)</f>
        <v>560</v>
      </c>
    </row>
    <row r="12" customFormat="false" ht="15" hidden="false" customHeight="false" outlineLevel="0" collapsed="false">
      <c r="A12" s="6" t="s">
        <v>44</v>
      </c>
      <c r="B12" s="6"/>
      <c r="C12" s="6"/>
      <c r="D12" s="6"/>
      <c r="E12" s="6"/>
    </row>
    <row r="13" customFormat="false" ht="25.5" hidden="false" customHeight="true" outlineLevel="0" collapsed="false">
      <c r="A13" s="7" t="s">
        <v>45</v>
      </c>
      <c r="B13" s="7"/>
      <c r="C13" s="7" t="s">
        <v>18</v>
      </c>
      <c r="D13" s="7" t="s">
        <v>46</v>
      </c>
      <c r="E13" s="7" t="s">
        <v>47</v>
      </c>
    </row>
    <row r="14" customFormat="false" ht="15" hidden="false" customHeight="false" outlineLevel="0" collapsed="false">
      <c r="A14" s="8" t="s">
        <v>48</v>
      </c>
      <c r="B14" s="8"/>
      <c r="C14" s="9" t="n">
        <v>18</v>
      </c>
      <c r="D14" s="21" t="n">
        <v>4</v>
      </c>
      <c r="E14" s="16" t="n">
        <f aca="false">C14*D14</f>
        <v>72</v>
      </c>
    </row>
    <row r="15" customFormat="false" ht="15" hidden="false" customHeight="false" outlineLevel="0" collapsed="false">
      <c r="A15" s="8" t="s">
        <v>57</v>
      </c>
      <c r="B15" s="8"/>
      <c r="C15" s="9" t="n">
        <v>6</v>
      </c>
      <c r="D15" s="21" t="n">
        <v>2</v>
      </c>
      <c r="E15" s="16" t="n">
        <f aca="false">C15*D15</f>
        <v>12</v>
      </c>
    </row>
    <row r="16" customFormat="false" ht="15" hidden="false" customHeight="false" outlineLevel="0" collapsed="false">
      <c r="A16" s="8" t="s">
        <v>65</v>
      </c>
      <c r="B16" s="8"/>
      <c r="C16" s="9" t="n">
        <v>10</v>
      </c>
      <c r="D16" s="21" t="n">
        <v>1</v>
      </c>
      <c r="E16" s="16" t="n">
        <f aca="false">C16*D16</f>
        <v>10</v>
      </c>
    </row>
    <row r="17" customFormat="false" ht="15" hidden="false" customHeight="false" outlineLevel="0" collapsed="false">
      <c r="A17" s="17" t="s">
        <v>58</v>
      </c>
      <c r="B17" s="17"/>
      <c r="C17" s="17"/>
      <c r="D17" s="17"/>
      <c r="E17" s="20" t="n">
        <f aca="false">SUM(E14:E16)</f>
        <v>94</v>
      </c>
    </row>
    <row r="19" customFormat="false" ht="15" hidden="false" customHeight="false" outlineLevel="0" collapsed="false">
      <c r="A19" s="6" t="s">
        <v>66</v>
      </c>
      <c r="B19" s="6"/>
      <c r="C19" s="6"/>
      <c r="D19" s="6"/>
      <c r="E19" s="6"/>
    </row>
    <row r="20" customFormat="false" ht="15" hidden="false" customHeight="false" outlineLevel="0" collapsed="false">
      <c r="A20" s="8" t="s">
        <v>50</v>
      </c>
      <c r="B20" s="8"/>
      <c r="C20" s="8"/>
      <c r="D20" s="8"/>
      <c r="E20" s="22" t="n">
        <f aca="false">D10</f>
        <v>4</v>
      </c>
    </row>
    <row r="21" customFormat="false" ht="15" hidden="false" customHeight="false" outlineLevel="0" collapsed="false">
      <c r="A21" s="8" t="s">
        <v>51</v>
      </c>
      <c r="B21" s="8"/>
      <c r="C21" s="8"/>
      <c r="D21" s="8"/>
      <c r="E21" s="23" t="n">
        <f aca="false">D14</f>
        <v>4</v>
      </c>
    </row>
    <row r="22" customFormat="false" ht="15" hidden="false" customHeight="false" outlineLevel="0" collapsed="false">
      <c r="A22" s="8" t="s">
        <v>52</v>
      </c>
      <c r="B22" s="8"/>
      <c r="C22" s="8"/>
      <c r="D22" s="8"/>
      <c r="E22" s="16" t="n">
        <f aca="false">E10</f>
        <v>560</v>
      </c>
    </row>
    <row r="23" customFormat="false" ht="15" hidden="false" customHeight="false" outlineLevel="0" collapsed="false">
      <c r="A23" s="8" t="s">
        <v>60</v>
      </c>
      <c r="B23" s="8"/>
      <c r="C23" s="8"/>
      <c r="D23" s="8"/>
      <c r="E23" s="16" t="n">
        <f aca="false">E17</f>
        <v>94</v>
      </c>
    </row>
    <row r="24" customFormat="false" ht="15" hidden="false" customHeight="false" outlineLevel="0" collapsed="false">
      <c r="A24" s="24" t="s">
        <v>54</v>
      </c>
      <c r="B24" s="24"/>
      <c r="C24" s="24"/>
      <c r="D24" s="24"/>
      <c r="E24" s="25" t="n">
        <f aca="false">E22+E23</f>
        <v>654</v>
      </c>
    </row>
    <row r="26" customFormat="false" ht="15" hidden="false" customHeight="true" outlineLevel="0" collapsed="false">
      <c r="A26" s="26" t="s">
        <v>67</v>
      </c>
      <c r="B26" s="26"/>
      <c r="C26" s="26"/>
      <c r="D26" s="26"/>
      <c r="E26" s="26"/>
    </row>
    <row r="27" customFormat="false" ht="15" hidden="false" customHeight="false" outlineLevel="0" collapsed="false">
      <c r="A27" s="26"/>
      <c r="B27" s="26"/>
      <c r="C27" s="26"/>
      <c r="D27" s="26"/>
      <c r="E27" s="26"/>
    </row>
  </sheetData>
  <mergeCells count="16">
    <mergeCell ref="A1:E1"/>
    <mergeCell ref="A2:E2"/>
    <mergeCell ref="A4:E4"/>
    <mergeCell ref="A10:B10"/>
    <mergeCell ref="A12:E12"/>
    <mergeCell ref="A14:B14"/>
    <mergeCell ref="A15:B15"/>
    <mergeCell ref="A16:B16"/>
    <mergeCell ref="A17:D17"/>
    <mergeCell ref="A19:E19"/>
    <mergeCell ref="A20:D20"/>
    <mergeCell ref="A21:D21"/>
    <mergeCell ref="A22:D22"/>
    <mergeCell ref="A23:D23"/>
    <mergeCell ref="A24:D24"/>
    <mergeCell ref="A26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9"/>
  </cols>
  <sheetData>
    <row r="1" customFormat="false" ht="16.15" hidden="false" customHeight="false" outlineLevel="0" collapsed="false">
      <c r="A1" s="12" t="s">
        <v>68</v>
      </c>
      <c r="B1" s="12"/>
      <c r="C1" s="12"/>
      <c r="D1" s="12"/>
      <c r="E1" s="12"/>
    </row>
    <row r="2" customFormat="false" ht="15" hidden="false" customHeight="false" outlineLevel="0" collapsed="false">
      <c r="A2" s="13" t="s">
        <v>1</v>
      </c>
      <c r="B2" s="13"/>
      <c r="C2" s="13"/>
      <c r="D2" s="13"/>
      <c r="E2" s="13"/>
    </row>
    <row r="4" customFormat="false" ht="15" hidden="false" customHeight="false" outlineLevel="0" collapsed="false">
      <c r="A4" s="6" t="s">
        <v>39</v>
      </c>
      <c r="B4" s="6"/>
      <c r="C4" s="6"/>
      <c r="D4" s="6"/>
      <c r="E4" s="6"/>
    </row>
    <row r="5" customFormat="false" ht="25.5" hidden="false" customHeight="true" outlineLevel="0" collapsed="false">
      <c r="A5" s="7" t="s">
        <v>5</v>
      </c>
      <c r="B5" s="7" t="s">
        <v>6</v>
      </c>
      <c r="C5" s="7" t="s">
        <v>7</v>
      </c>
      <c r="D5" s="7" t="s">
        <v>40</v>
      </c>
      <c r="E5" s="7" t="s">
        <v>41</v>
      </c>
    </row>
    <row r="6" customFormat="false" ht="15" hidden="false" customHeight="false" outlineLevel="0" collapsed="false">
      <c r="A6" s="8" t="s">
        <v>9</v>
      </c>
      <c r="B6" s="8" t="s">
        <v>10</v>
      </c>
      <c r="C6" s="14" t="n">
        <f aca="false">Parâmetros!$C$8</f>
        <v>200</v>
      </c>
      <c r="D6" s="15" t="n">
        <v>1</v>
      </c>
      <c r="E6" s="16" t="n">
        <f aca="false">C6*D6</f>
        <v>200</v>
      </c>
    </row>
    <row r="7" customFormat="false" ht="15" hidden="false" customHeight="false" outlineLevel="0" collapsed="false">
      <c r="A7" s="8" t="s">
        <v>12</v>
      </c>
      <c r="B7" s="8" t="s">
        <v>10</v>
      </c>
      <c r="C7" s="14" t="n">
        <f aca="false">Parâmetros!$C$9</f>
        <v>160</v>
      </c>
      <c r="D7" s="15" t="n">
        <v>1</v>
      </c>
      <c r="E7" s="16" t="n">
        <f aca="false">C7*D7</f>
        <v>160</v>
      </c>
    </row>
    <row r="8" customFormat="false" ht="15" hidden="false" customHeight="false" outlineLevel="0" collapsed="false">
      <c r="A8" s="8" t="s">
        <v>13</v>
      </c>
      <c r="B8" s="8" t="s">
        <v>14</v>
      </c>
      <c r="C8" s="14" t="n">
        <f aca="false">Parâmetros!$C$10</f>
        <v>100</v>
      </c>
      <c r="D8" s="15" t="n">
        <v>1</v>
      </c>
      <c r="E8" s="16" t="n">
        <f aca="false">C8*D8</f>
        <v>100</v>
      </c>
    </row>
    <row r="9" customFormat="false" ht="15" hidden="false" customHeight="false" outlineLevel="0" collapsed="false">
      <c r="A9" s="8" t="s">
        <v>15</v>
      </c>
      <c r="B9" s="8" t="s">
        <v>14</v>
      </c>
      <c r="C9" s="14" t="n">
        <f aca="false">Parâmetros!$C$11</f>
        <v>100</v>
      </c>
      <c r="D9" s="15" t="n">
        <v>1</v>
      </c>
      <c r="E9" s="16" t="n">
        <f aca="false">C9*D9</f>
        <v>100</v>
      </c>
    </row>
    <row r="10" customFormat="false" ht="15" hidden="false" customHeight="false" outlineLevel="0" collapsed="false">
      <c r="A10" s="17" t="s">
        <v>42</v>
      </c>
      <c r="B10" s="17"/>
      <c r="C10" s="18" t="s">
        <v>43</v>
      </c>
      <c r="D10" s="19" t="n">
        <f aca="false">SUM(D6:D9)</f>
        <v>4</v>
      </c>
      <c r="E10" s="20" t="n">
        <f aca="false">SUM(E6:E9)</f>
        <v>560</v>
      </c>
    </row>
    <row r="12" customFormat="false" ht="15" hidden="false" customHeight="false" outlineLevel="0" collapsed="false">
      <c r="A12" s="6" t="s">
        <v>44</v>
      </c>
      <c r="B12" s="6"/>
      <c r="C12" s="6"/>
      <c r="D12" s="6"/>
      <c r="E12" s="6"/>
    </row>
    <row r="13" customFormat="false" ht="25.5" hidden="false" customHeight="true" outlineLevel="0" collapsed="false">
      <c r="A13" s="7" t="s">
        <v>45</v>
      </c>
      <c r="B13" s="7"/>
      <c r="C13" s="7" t="s">
        <v>18</v>
      </c>
      <c r="D13" s="7" t="s">
        <v>46</v>
      </c>
      <c r="E13" s="7" t="s">
        <v>47</v>
      </c>
    </row>
    <row r="14" customFormat="false" ht="15" hidden="false" customHeight="false" outlineLevel="0" collapsed="false">
      <c r="A14" s="8" t="s">
        <v>48</v>
      </c>
      <c r="B14" s="8"/>
      <c r="C14" s="9" t="n">
        <v>18</v>
      </c>
      <c r="D14" s="21" t="n">
        <v>4</v>
      </c>
      <c r="E14" s="16" t="n">
        <f aca="false">C14*D14</f>
        <v>72</v>
      </c>
    </row>
    <row r="15" customFormat="false" ht="15" hidden="false" customHeight="false" outlineLevel="0" collapsed="false">
      <c r="A15" s="8" t="s">
        <v>57</v>
      </c>
      <c r="B15" s="8"/>
      <c r="C15" s="9" t="n">
        <v>6</v>
      </c>
      <c r="D15" s="21" t="n">
        <v>2</v>
      </c>
      <c r="E15" s="16" t="n">
        <f aca="false">C15*D15</f>
        <v>12</v>
      </c>
    </row>
    <row r="16" customFormat="false" ht="15" hidden="false" customHeight="false" outlineLevel="0" collapsed="false">
      <c r="A16" s="8" t="s">
        <v>65</v>
      </c>
      <c r="B16" s="8"/>
      <c r="C16" s="9" t="n">
        <v>10</v>
      </c>
      <c r="D16" s="21" t="n">
        <v>1</v>
      </c>
      <c r="E16" s="16" t="n">
        <f aca="false">C16*D16</f>
        <v>10</v>
      </c>
    </row>
    <row r="17" customFormat="false" ht="15" hidden="false" customHeight="false" outlineLevel="0" collapsed="false">
      <c r="A17" s="17" t="s">
        <v>58</v>
      </c>
      <c r="B17" s="17"/>
      <c r="C17" s="17"/>
      <c r="D17" s="17"/>
      <c r="E17" s="20" t="n">
        <f aca="false">SUM(E14:E16)</f>
        <v>94</v>
      </c>
    </row>
    <row r="19" customFormat="false" ht="15" hidden="false" customHeight="false" outlineLevel="0" collapsed="false">
      <c r="A19" s="6" t="s">
        <v>69</v>
      </c>
      <c r="B19" s="6"/>
      <c r="C19" s="6"/>
      <c r="D19" s="6"/>
      <c r="E19" s="6"/>
    </row>
    <row r="20" customFormat="false" ht="15" hidden="false" customHeight="false" outlineLevel="0" collapsed="false">
      <c r="A20" s="8" t="s">
        <v>50</v>
      </c>
      <c r="B20" s="8"/>
      <c r="C20" s="8"/>
      <c r="D20" s="8"/>
      <c r="E20" s="22" t="n">
        <f aca="false">D10</f>
        <v>4</v>
      </c>
    </row>
    <row r="21" customFormat="false" ht="15" hidden="false" customHeight="false" outlineLevel="0" collapsed="false">
      <c r="A21" s="8" t="s">
        <v>51</v>
      </c>
      <c r="B21" s="8"/>
      <c r="C21" s="8"/>
      <c r="D21" s="8"/>
      <c r="E21" s="23" t="n">
        <f aca="false">D14</f>
        <v>4</v>
      </c>
    </row>
    <row r="22" customFormat="false" ht="15" hidden="false" customHeight="false" outlineLevel="0" collapsed="false">
      <c r="A22" s="8" t="s">
        <v>52</v>
      </c>
      <c r="B22" s="8"/>
      <c r="C22" s="8"/>
      <c r="D22" s="8"/>
      <c r="E22" s="16" t="n">
        <f aca="false">E10</f>
        <v>560</v>
      </c>
    </row>
    <row r="23" customFormat="false" ht="15" hidden="false" customHeight="false" outlineLevel="0" collapsed="false">
      <c r="A23" s="8" t="s">
        <v>60</v>
      </c>
      <c r="B23" s="8"/>
      <c r="C23" s="8"/>
      <c r="D23" s="8"/>
      <c r="E23" s="16" t="n">
        <f aca="false">E17</f>
        <v>94</v>
      </c>
    </row>
    <row r="24" customFormat="false" ht="15" hidden="false" customHeight="false" outlineLevel="0" collapsed="false">
      <c r="A24" s="24" t="s">
        <v>54</v>
      </c>
      <c r="B24" s="24"/>
      <c r="C24" s="24"/>
      <c r="D24" s="24"/>
      <c r="E24" s="25" t="n">
        <f aca="false">E22+E23</f>
        <v>654</v>
      </c>
    </row>
    <row r="26" customFormat="false" ht="15" hidden="false" customHeight="true" outlineLevel="0" collapsed="false">
      <c r="A26" s="26" t="s">
        <v>70</v>
      </c>
      <c r="B26" s="26"/>
      <c r="C26" s="26"/>
      <c r="D26" s="26"/>
      <c r="E26" s="26"/>
    </row>
    <row r="27" customFormat="false" ht="15" hidden="false" customHeight="false" outlineLevel="0" collapsed="false">
      <c r="A27" s="26"/>
      <c r="B27" s="26"/>
      <c r="C27" s="26"/>
      <c r="D27" s="26"/>
      <c r="E27" s="26"/>
    </row>
  </sheetData>
  <mergeCells count="16">
    <mergeCell ref="A1:E1"/>
    <mergeCell ref="A2:E2"/>
    <mergeCell ref="A4:E4"/>
    <mergeCell ref="A10:B10"/>
    <mergeCell ref="A12:E12"/>
    <mergeCell ref="A14:B14"/>
    <mergeCell ref="A15:B15"/>
    <mergeCell ref="A16:B16"/>
    <mergeCell ref="A17:D17"/>
    <mergeCell ref="A19:E19"/>
    <mergeCell ref="A20:D20"/>
    <mergeCell ref="A21:D21"/>
    <mergeCell ref="A22:D22"/>
    <mergeCell ref="A23:D23"/>
    <mergeCell ref="A24:D24"/>
    <mergeCell ref="A26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27" t="s">
        <v>71</v>
      </c>
      <c r="B1" s="27"/>
      <c r="C1" s="27"/>
      <c r="D1" s="27"/>
      <c r="E1" s="27"/>
      <c r="F1" s="27"/>
      <c r="G1" s="27"/>
    </row>
    <row r="2" customFormat="false" ht="15" hidden="false" customHeight="false" outlineLevel="0" collapsed="false">
      <c r="A2" s="13" t="s">
        <v>1</v>
      </c>
      <c r="B2" s="13"/>
      <c r="C2" s="13"/>
      <c r="D2" s="13"/>
      <c r="E2" s="13"/>
      <c r="F2" s="13"/>
      <c r="G2" s="13"/>
    </row>
    <row r="4" customFormat="false" ht="15" hidden="false" customHeight="false" outlineLevel="0" collapsed="false">
      <c r="A4" s="6" t="s">
        <v>72</v>
      </c>
      <c r="B4" s="6"/>
      <c r="C4" s="6"/>
      <c r="D4" s="6"/>
      <c r="E4" s="6"/>
      <c r="F4" s="6"/>
      <c r="G4" s="6"/>
    </row>
    <row r="5" customFormat="false" ht="27.75" hidden="false" customHeight="true" outlineLevel="0" collapsed="false">
      <c r="A5" s="7" t="s">
        <v>73</v>
      </c>
      <c r="B5" s="7" t="s">
        <v>74</v>
      </c>
      <c r="C5" s="7" t="s">
        <v>75</v>
      </c>
      <c r="D5" s="7" t="s">
        <v>76</v>
      </c>
      <c r="E5" s="7" t="s">
        <v>77</v>
      </c>
      <c r="F5" s="7" t="s">
        <v>78</v>
      </c>
      <c r="G5" s="7" t="s">
        <v>79</v>
      </c>
    </row>
    <row r="6" customFormat="false" ht="15" hidden="false" customHeight="false" outlineLevel="0" collapsed="false">
      <c r="A6" s="8" t="s">
        <v>80</v>
      </c>
      <c r="B6" s="28" t="n">
        <v>46272</v>
      </c>
      <c r="C6" s="22" t="n">
        <f aca="false">'Segunda 07-09'!$E$17</f>
        <v>1</v>
      </c>
      <c r="D6" s="16" t="n">
        <f aca="false">'Segunda 07-09'!$E$19</f>
        <v>200</v>
      </c>
      <c r="E6" s="23" t="n">
        <f aca="false">'Segunda 07-09'!$E$18</f>
        <v>0</v>
      </c>
      <c r="F6" s="16" t="n">
        <f aca="false">'Segunda 07-09'!$E$20</f>
        <v>0</v>
      </c>
      <c r="G6" s="29" t="n">
        <f aca="false">'Segunda 07-09'!$E$21</f>
        <v>200</v>
      </c>
    </row>
    <row r="7" customFormat="false" ht="15" hidden="false" customHeight="false" outlineLevel="0" collapsed="false">
      <c r="A7" s="8" t="s">
        <v>81</v>
      </c>
      <c r="B7" s="28" t="n">
        <v>46273</v>
      </c>
      <c r="C7" s="22" t="n">
        <f aca="false">'Terça 08-09'!$E$19</f>
        <v>4</v>
      </c>
      <c r="D7" s="16" t="n">
        <f aca="false">'Terça 08-09'!$E$21</f>
        <v>560</v>
      </c>
      <c r="E7" s="23" t="n">
        <f aca="false">'Terça 08-09'!$E$20</f>
        <v>4</v>
      </c>
      <c r="F7" s="16" t="n">
        <f aca="false">'Terça 08-09'!$E$22</f>
        <v>84</v>
      </c>
      <c r="G7" s="29" t="n">
        <f aca="false">'Terça 08-09'!$E$23</f>
        <v>644</v>
      </c>
    </row>
    <row r="8" customFormat="false" ht="15" hidden="false" customHeight="false" outlineLevel="0" collapsed="false">
      <c r="A8" s="8" t="s">
        <v>82</v>
      </c>
      <c r="B8" s="28" t="n">
        <v>46274</v>
      </c>
      <c r="C8" s="22" t="n">
        <f aca="false">'Quarta 09-09'!$E$19</f>
        <v>4</v>
      </c>
      <c r="D8" s="16" t="n">
        <f aca="false">'Quarta 09-09'!$E$21</f>
        <v>560</v>
      </c>
      <c r="E8" s="23" t="n">
        <f aca="false">'Quarta 09-09'!$E$20</f>
        <v>4</v>
      </c>
      <c r="F8" s="16" t="n">
        <f aca="false">'Quarta 09-09'!$E$22</f>
        <v>84</v>
      </c>
      <c r="G8" s="29" t="n">
        <f aca="false">'Quarta 09-09'!$E$23</f>
        <v>644</v>
      </c>
    </row>
    <row r="9" customFormat="false" ht="15" hidden="false" customHeight="false" outlineLevel="0" collapsed="false">
      <c r="A9" s="8" t="s">
        <v>83</v>
      </c>
      <c r="B9" s="28" t="n">
        <v>46275</v>
      </c>
      <c r="C9" s="22" t="n">
        <f aca="false">'Quinta 10-09'!$E$20</f>
        <v>4</v>
      </c>
      <c r="D9" s="16" t="n">
        <f aca="false">'Quinta 10-09'!$E$22</f>
        <v>560</v>
      </c>
      <c r="E9" s="23" t="n">
        <f aca="false">'Quinta 10-09'!$E$21</f>
        <v>4</v>
      </c>
      <c r="F9" s="16" t="n">
        <f aca="false">'Quinta 10-09'!$E$23</f>
        <v>94</v>
      </c>
      <c r="G9" s="29" t="n">
        <f aca="false">'Quinta 10-09'!$E$24</f>
        <v>654</v>
      </c>
    </row>
    <row r="10" customFormat="false" ht="15" hidden="false" customHeight="false" outlineLevel="0" collapsed="false">
      <c r="A10" s="8" t="s">
        <v>84</v>
      </c>
      <c r="B10" s="28" t="n">
        <v>46276</v>
      </c>
      <c r="C10" s="22" t="n">
        <f aca="false">'Sexta 11-09'!$E$20</f>
        <v>4</v>
      </c>
      <c r="D10" s="16" t="n">
        <f aca="false">'Sexta 11-09'!$E$22</f>
        <v>560</v>
      </c>
      <c r="E10" s="23" t="n">
        <f aca="false">'Sexta 11-09'!$E$21</f>
        <v>4</v>
      </c>
      <c r="F10" s="16" t="n">
        <f aca="false">'Sexta 11-09'!$E$23</f>
        <v>94</v>
      </c>
      <c r="G10" s="29" t="n">
        <f aca="false">'Sexta 11-09'!$E$24</f>
        <v>654</v>
      </c>
    </row>
    <row r="11" customFormat="false" ht="15" hidden="false" customHeight="false" outlineLevel="0" collapsed="false">
      <c r="A11" s="17" t="s">
        <v>85</v>
      </c>
      <c r="B11" s="17"/>
      <c r="C11" s="30" t="n">
        <f aca="false">SUM(C6:C10)</f>
        <v>17</v>
      </c>
      <c r="D11" s="20" t="n">
        <f aca="false">SUM(D6:D10)</f>
        <v>2440</v>
      </c>
      <c r="E11" s="31" t="n">
        <f aca="false">SUM(E6:E10)</f>
        <v>16</v>
      </c>
      <c r="F11" s="20" t="n">
        <f aca="false">SUM(F6:F10)</f>
        <v>356</v>
      </c>
      <c r="G11" s="20" t="n">
        <f aca="false">SUM(G6:G10)</f>
        <v>2796</v>
      </c>
    </row>
    <row r="13" customFormat="false" ht="15" hidden="false" customHeight="false" outlineLevel="0" collapsed="false">
      <c r="A13" s="6" t="s">
        <v>86</v>
      </c>
      <c r="B13" s="6"/>
      <c r="C13" s="6"/>
      <c r="D13" s="6"/>
      <c r="E13" s="6"/>
      <c r="F13" s="6"/>
      <c r="G13" s="6"/>
    </row>
    <row r="14" customFormat="false" ht="27.75" hidden="false" customHeight="true" outlineLevel="0" collapsed="false">
      <c r="A14" s="7" t="s">
        <v>5</v>
      </c>
      <c r="B14" s="7" t="s">
        <v>6</v>
      </c>
      <c r="C14" s="7" t="s">
        <v>7</v>
      </c>
      <c r="D14" s="7" t="s">
        <v>87</v>
      </c>
      <c r="E14" s="7"/>
      <c r="F14" s="7"/>
      <c r="G14" s="7" t="s">
        <v>88</v>
      </c>
    </row>
    <row r="15" customFormat="false" ht="15" hidden="false" customHeight="false" outlineLevel="0" collapsed="false">
      <c r="A15" s="8" t="s">
        <v>9</v>
      </c>
      <c r="B15" s="8" t="s">
        <v>10</v>
      </c>
      <c r="C15" s="14" t="n">
        <f aca="false">Parâmetros!$C$8</f>
        <v>200</v>
      </c>
      <c r="D15" s="32" t="n">
        <f aca="false">'Segunda 07-09'!$D$6+'Terça 08-09'!$D$6+'Quarta 09-09'!$D$6+'Quinta 10-09'!$D$6+'Sexta 11-09'!$D$6</f>
        <v>5</v>
      </c>
      <c r="E15" s="32"/>
      <c r="F15" s="32"/>
      <c r="G15" s="29" t="n">
        <f aca="false">C15*D15</f>
        <v>1000</v>
      </c>
    </row>
    <row r="16" customFormat="false" ht="15" hidden="false" customHeight="false" outlineLevel="0" collapsed="false">
      <c r="A16" s="8" t="s">
        <v>12</v>
      </c>
      <c r="B16" s="8" t="s">
        <v>10</v>
      </c>
      <c r="C16" s="14" t="n">
        <f aca="false">Parâmetros!$C$9</f>
        <v>160</v>
      </c>
      <c r="D16" s="32" t="n">
        <f aca="false">'Segunda 07-09'!$D$7+'Terça 08-09'!$D$7+'Quarta 09-09'!$D$7+'Quinta 10-09'!$D$7+'Sexta 11-09'!$D$7</f>
        <v>4</v>
      </c>
      <c r="E16" s="32"/>
      <c r="F16" s="32"/>
      <c r="G16" s="29" t="n">
        <f aca="false">C16*D16</f>
        <v>640</v>
      </c>
    </row>
    <row r="17" customFormat="false" ht="15" hidden="false" customHeight="false" outlineLevel="0" collapsed="false">
      <c r="A17" s="8" t="s">
        <v>13</v>
      </c>
      <c r="B17" s="8" t="s">
        <v>14</v>
      </c>
      <c r="C17" s="14" t="n">
        <f aca="false">Parâmetros!$C$10</f>
        <v>100</v>
      </c>
      <c r="D17" s="32" t="n">
        <f aca="false">'Segunda 07-09'!$D$8+'Terça 08-09'!$D$8+'Quarta 09-09'!$D$8+'Quinta 10-09'!$D$8+'Sexta 11-09'!$D$8</f>
        <v>4</v>
      </c>
      <c r="E17" s="32"/>
      <c r="F17" s="32"/>
      <c r="G17" s="29" t="n">
        <f aca="false">C17*D17</f>
        <v>400</v>
      </c>
    </row>
    <row r="18" customFormat="false" ht="15" hidden="false" customHeight="false" outlineLevel="0" collapsed="false">
      <c r="A18" s="8" t="s">
        <v>15</v>
      </c>
      <c r="B18" s="8" t="s">
        <v>14</v>
      </c>
      <c r="C18" s="14" t="n">
        <f aca="false">Parâmetros!$C$11</f>
        <v>100</v>
      </c>
      <c r="D18" s="32" t="n">
        <f aca="false">'Segunda 07-09'!$D$9+'Terça 08-09'!$D$9+'Quarta 09-09'!$D$9+'Quinta 10-09'!$D$9+'Sexta 11-09'!$D$9</f>
        <v>4</v>
      </c>
      <c r="E18" s="32"/>
      <c r="F18" s="32"/>
      <c r="G18" s="29" t="n">
        <f aca="false">C18*D18</f>
        <v>400</v>
      </c>
    </row>
    <row r="19" customFormat="false" ht="15" hidden="false" customHeight="false" outlineLevel="0" collapsed="false">
      <c r="A19" s="17" t="s">
        <v>89</v>
      </c>
      <c r="B19" s="17"/>
      <c r="C19" s="17"/>
      <c r="D19" s="19" t="n">
        <f aca="false">SUM(D15:D18)</f>
        <v>17</v>
      </c>
      <c r="E19" s="19"/>
      <c r="F19" s="19"/>
      <c r="G19" s="20" t="n">
        <f aca="false">SUM(G15:G18)</f>
        <v>2440</v>
      </c>
    </row>
    <row r="21" customFormat="false" ht="15" hidden="false" customHeight="false" outlineLevel="0" collapsed="false">
      <c r="A21" s="6" t="s">
        <v>90</v>
      </c>
      <c r="B21" s="6"/>
      <c r="C21" s="6"/>
      <c r="D21" s="6"/>
      <c r="E21" s="6"/>
      <c r="F21" s="6"/>
      <c r="G21" s="6"/>
    </row>
    <row r="22" customFormat="false" ht="27.75" hidden="false" customHeight="true" outlineLevel="0" collapsed="false">
      <c r="A22" s="7" t="s">
        <v>91</v>
      </c>
      <c r="B22" s="7" t="s">
        <v>92</v>
      </c>
      <c r="C22" s="7"/>
      <c r="D22" s="7"/>
      <c r="E22" s="7" t="s">
        <v>93</v>
      </c>
      <c r="F22" s="7"/>
      <c r="G22" s="7" t="s">
        <v>94</v>
      </c>
    </row>
    <row r="23" customFormat="false" ht="15" hidden="false" customHeight="false" outlineLevel="0" collapsed="false">
      <c r="A23" s="29" t="n">
        <v>18</v>
      </c>
      <c r="B23" s="8" t="s">
        <v>95</v>
      </c>
      <c r="C23" s="8"/>
      <c r="D23" s="8"/>
      <c r="E23" s="33" t="n">
        <f aca="false">'Terça 08-09'!$D$14+'Quarta 09-09'!$D$14+'Quinta 10-09'!$D$14+'Sexta 11-09'!$D$14</f>
        <v>16</v>
      </c>
      <c r="F23" s="33"/>
      <c r="G23" s="29" t="n">
        <f aca="false">'Terça 08-09'!$E$14+'Quarta 09-09'!$E$14+'Quinta 10-09'!$E$14+'Sexta 11-09'!$E$14</f>
        <v>288</v>
      </c>
    </row>
    <row r="24" customFormat="false" ht="15" hidden="false" customHeight="false" outlineLevel="0" collapsed="false">
      <c r="A24" s="34" t="s">
        <v>57</v>
      </c>
      <c r="B24" s="8" t="s">
        <v>96</v>
      </c>
      <c r="C24" s="8"/>
      <c r="D24" s="8"/>
      <c r="E24" s="33" t="n">
        <v>8</v>
      </c>
      <c r="F24" s="33"/>
      <c r="G24" s="29" t="n">
        <f aca="false">'Terça 08-09'!$E$15+'Quarta 09-09'!$E$15+'Quinta 10-09'!$E$15+'Sexta 11-09'!$E$15</f>
        <v>48</v>
      </c>
    </row>
    <row r="25" customFormat="false" ht="15" hidden="false" customHeight="false" outlineLevel="0" collapsed="false">
      <c r="A25" s="34" t="s">
        <v>65</v>
      </c>
      <c r="B25" s="8" t="s">
        <v>97</v>
      </c>
      <c r="C25" s="8"/>
      <c r="D25" s="8"/>
      <c r="E25" s="33" t="n">
        <v>2</v>
      </c>
      <c r="F25" s="33"/>
      <c r="G25" s="29" t="n">
        <f aca="false">'Quinta 10-09'!$E$16+'Sexta 11-09'!$E$16</f>
        <v>20</v>
      </c>
    </row>
    <row r="26" customFormat="false" ht="15" hidden="false" customHeight="false" outlineLevel="0" collapsed="false">
      <c r="A26" s="17" t="s">
        <v>98</v>
      </c>
      <c r="B26" s="17"/>
      <c r="C26" s="17"/>
      <c r="D26" s="17"/>
      <c r="E26" s="35" t="n">
        <f aca="false">SUM(E23:E23)</f>
        <v>16</v>
      </c>
      <c r="F26" s="35"/>
      <c r="G26" s="20" t="n">
        <f aca="false">SUM(G23:G25)</f>
        <v>356</v>
      </c>
    </row>
    <row r="28" customFormat="false" ht="15" hidden="false" customHeight="false" outlineLevel="0" collapsed="false">
      <c r="A28" s="6" t="s">
        <v>99</v>
      </c>
      <c r="B28" s="6"/>
      <c r="C28" s="6"/>
      <c r="D28" s="6"/>
      <c r="E28" s="6"/>
      <c r="F28" s="6"/>
      <c r="G28" s="6"/>
    </row>
    <row r="29" customFormat="false" ht="15" hidden="false" customHeight="false" outlineLevel="0" collapsed="false">
      <c r="A29" s="8" t="s">
        <v>100</v>
      </c>
      <c r="B29" s="8"/>
      <c r="C29" s="8"/>
      <c r="D29" s="8"/>
      <c r="E29" s="8"/>
      <c r="F29" s="8"/>
      <c r="G29" s="16" t="n">
        <f aca="false">G19</f>
        <v>2440</v>
      </c>
    </row>
    <row r="30" customFormat="false" ht="15" hidden="false" customHeight="false" outlineLevel="0" collapsed="false">
      <c r="A30" s="8" t="s">
        <v>101</v>
      </c>
      <c r="B30" s="8"/>
      <c r="C30" s="8"/>
      <c r="D30" s="8"/>
      <c r="E30" s="8"/>
      <c r="F30" s="8"/>
      <c r="G30" s="16" t="n">
        <f aca="false">G26</f>
        <v>356</v>
      </c>
    </row>
    <row r="31" customFormat="false" ht="15" hidden="false" customHeight="false" outlineLevel="0" collapsed="false">
      <c r="A31" s="36" t="s">
        <v>102</v>
      </c>
      <c r="B31" s="36"/>
      <c r="C31" s="36"/>
      <c r="D31" s="36"/>
      <c r="E31" s="36"/>
      <c r="F31" s="36"/>
      <c r="G31" s="37" t="n">
        <f aca="false">G29+G30</f>
        <v>2796</v>
      </c>
    </row>
    <row r="33" customFormat="false" ht="15" hidden="false" customHeight="false" outlineLevel="0" collapsed="false">
      <c r="A33" s="6" t="s">
        <v>103</v>
      </c>
      <c r="B33" s="6"/>
      <c r="C33" s="6"/>
      <c r="D33" s="6"/>
      <c r="E33" s="6"/>
      <c r="F33" s="6"/>
      <c r="G33" s="6"/>
    </row>
    <row r="34" customFormat="false" ht="27.75" hidden="false" customHeight="true" outlineLevel="0" collapsed="false">
      <c r="A34" s="7" t="s">
        <v>104</v>
      </c>
      <c r="B34" s="7"/>
      <c r="C34" s="7" t="s">
        <v>75</v>
      </c>
      <c r="D34" s="7" t="s">
        <v>76</v>
      </c>
      <c r="E34" s="7" t="s">
        <v>77</v>
      </c>
      <c r="F34" s="7" t="s">
        <v>78</v>
      </c>
      <c r="G34" s="7" t="s">
        <v>105</v>
      </c>
    </row>
    <row r="35" customFormat="false" ht="15" hidden="false" customHeight="false" outlineLevel="0" collapsed="false">
      <c r="A35" s="8" t="s">
        <v>106</v>
      </c>
      <c r="B35" s="8"/>
      <c r="C35" s="38" t="n">
        <v>16</v>
      </c>
      <c r="D35" s="9" t="n">
        <v>2340</v>
      </c>
      <c r="E35" s="39" t="n">
        <v>12</v>
      </c>
      <c r="F35" s="9" t="n">
        <v>264</v>
      </c>
      <c r="G35" s="9" t="n">
        <v>2604</v>
      </c>
    </row>
    <row r="36" customFormat="false" ht="15" hidden="false" customHeight="false" outlineLevel="0" collapsed="false">
      <c r="A36" s="8" t="s">
        <v>107</v>
      </c>
      <c r="B36" s="8"/>
      <c r="C36" s="38" t="n">
        <v>19</v>
      </c>
      <c r="D36" s="9" t="n">
        <v>2370</v>
      </c>
      <c r="E36" s="39" t="n">
        <v>19</v>
      </c>
      <c r="F36" s="9" t="n">
        <v>334</v>
      </c>
      <c r="G36" s="9" t="n">
        <v>2704</v>
      </c>
    </row>
    <row r="37" customFormat="false" ht="15" hidden="false" customHeight="false" outlineLevel="0" collapsed="false">
      <c r="A37" s="8" t="s">
        <v>108</v>
      </c>
      <c r="B37" s="8"/>
      <c r="C37" s="38" t="n">
        <v>14</v>
      </c>
      <c r="D37" s="9" t="n">
        <v>2360</v>
      </c>
      <c r="E37" s="39" t="n">
        <v>14</v>
      </c>
      <c r="F37" s="9" t="n">
        <v>246</v>
      </c>
      <c r="G37" s="9" t="n">
        <v>2606</v>
      </c>
    </row>
    <row r="38" customFormat="false" ht="15" hidden="false" customHeight="false" outlineLevel="0" collapsed="false">
      <c r="A38" s="8" t="s">
        <v>109</v>
      </c>
      <c r="B38" s="8"/>
      <c r="C38" s="38" t="n">
        <v>11.5</v>
      </c>
      <c r="D38" s="9" t="n">
        <v>2025</v>
      </c>
      <c r="E38" s="39" t="n">
        <v>13</v>
      </c>
      <c r="F38" s="9" t="n">
        <v>246</v>
      </c>
      <c r="G38" s="9" t="n">
        <v>2271</v>
      </c>
    </row>
    <row r="39" customFormat="false" ht="15" hidden="false" customHeight="false" outlineLevel="0" collapsed="false">
      <c r="A39" s="8" t="s">
        <v>110</v>
      </c>
      <c r="B39" s="8"/>
      <c r="C39" s="38" t="n">
        <v>12</v>
      </c>
      <c r="D39" s="9" t="n">
        <v>1960</v>
      </c>
      <c r="E39" s="39" t="n">
        <v>12</v>
      </c>
      <c r="F39" s="9" t="n">
        <v>216</v>
      </c>
      <c r="G39" s="9" t="n">
        <v>2176</v>
      </c>
    </row>
    <row r="40" customFormat="false" ht="15" hidden="false" customHeight="false" outlineLevel="0" collapsed="false">
      <c r="A40" s="8" t="s">
        <v>111</v>
      </c>
      <c r="B40" s="8"/>
      <c r="C40" s="38" t="n">
        <v>9</v>
      </c>
      <c r="D40" s="9" t="n">
        <v>1800</v>
      </c>
      <c r="E40" s="39" t="n">
        <v>9</v>
      </c>
      <c r="F40" s="9" t="n">
        <v>186</v>
      </c>
      <c r="G40" s="9" t="n">
        <v>1986</v>
      </c>
    </row>
    <row r="41" customFormat="false" ht="15" hidden="false" customHeight="false" outlineLevel="0" collapsed="false">
      <c r="A41" s="8" t="s">
        <v>112</v>
      </c>
      <c r="B41" s="8"/>
      <c r="C41" s="38" t="n">
        <v>10</v>
      </c>
      <c r="D41" s="9" t="n">
        <v>1700</v>
      </c>
      <c r="E41" s="39" t="n">
        <v>10</v>
      </c>
      <c r="F41" s="9" t="n">
        <v>188</v>
      </c>
      <c r="G41" s="9" t="n">
        <v>1888</v>
      </c>
    </row>
    <row r="42" customFormat="false" ht="15" hidden="false" customHeight="false" outlineLevel="0" collapsed="false">
      <c r="A42" s="8" t="s">
        <v>113</v>
      </c>
      <c r="B42" s="8"/>
      <c r="C42" s="22" t="n">
        <f aca="false">C11</f>
        <v>17</v>
      </c>
      <c r="D42" s="16" t="n">
        <f aca="false">D11</f>
        <v>2440</v>
      </c>
      <c r="E42" s="23" t="n">
        <f aca="false">E11</f>
        <v>16</v>
      </c>
      <c r="F42" s="16" t="n">
        <f aca="false">F11</f>
        <v>356</v>
      </c>
      <c r="G42" s="16" t="n">
        <f aca="false">G11</f>
        <v>2796</v>
      </c>
    </row>
    <row r="43" customFormat="false" ht="15" hidden="false" customHeight="false" outlineLevel="0" collapsed="false">
      <c r="A43" s="40" t="s">
        <v>114</v>
      </c>
      <c r="B43" s="40"/>
      <c r="C43" s="41" t="n">
        <f aca="false">SUM(C35:C42)</f>
        <v>108.5</v>
      </c>
      <c r="D43" s="42" t="n">
        <f aca="false">SUM(D35:D42)</f>
        <v>16995</v>
      </c>
      <c r="E43" s="43" t="n">
        <f aca="false">SUM(E35:E42)</f>
        <v>105</v>
      </c>
      <c r="F43" s="42" t="n">
        <f aca="false">SUM(F35:F42)</f>
        <v>2036</v>
      </c>
      <c r="G43" s="42" t="n">
        <f aca="false">SUM(G35:G42)</f>
        <v>19031</v>
      </c>
    </row>
    <row r="45" customFormat="false" ht="15" hidden="false" customHeight="true" outlineLevel="0" collapsed="false">
      <c r="A45" s="44" t="s">
        <v>115</v>
      </c>
      <c r="B45" s="44"/>
      <c r="C45" s="44"/>
      <c r="D45" s="44"/>
      <c r="E45" s="44"/>
      <c r="F45" s="44"/>
      <c r="G45" s="44"/>
    </row>
    <row r="46" customFormat="false" ht="15" hidden="false" customHeight="false" outlineLevel="0" collapsed="false">
      <c r="A46" s="44"/>
      <c r="B46" s="44"/>
      <c r="C46" s="44"/>
      <c r="D46" s="44"/>
      <c r="E46" s="44"/>
      <c r="F46" s="44"/>
      <c r="G46" s="44"/>
    </row>
    <row r="47" customFormat="false" ht="15" hidden="false" customHeight="false" outlineLevel="0" collapsed="false">
      <c r="A47" s="44"/>
      <c r="B47" s="44"/>
      <c r="C47" s="44"/>
      <c r="D47" s="44"/>
      <c r="E47" s="44"/>
      <c r="F47" s="44"/>
      <c r="G47" s="44"/>
    </row>
  </sheetData>
  <mergeCells count="39">
    <mergeCell ref="A1:G1"/>
    <mergeCell ref="A2:G2"/>
    <mergeCell ref="A4:G4"/>
    <mergeCell ref="A11:B11"/>
    <mergeCell ref="A13:G13"/>
    <mergeCell ref="D14:F14"/>
    <mergeCell ref="D15:F15"/>
    <mergeCell ref="D16:F16"/>
    <mergeCell ref="D17:F17"/>
    <mergeCell ref="D18:F18"/>
    <mergeCell ref="A19:C19"/>
    <mergeCell ref="D19:F19"/>
    <mergeCell ref="A21:G21"/>
    <mergeCell ref="B22:D22"/>
    <mergeCell ref="E22:F22"/>
    <mergeCell ref="B23:D23"/>
    <mergeCell ref="E23:F23"/>
    <mergeCell ref="B24:D24"/>
    <mergeCell ref="E24:F24"/>
    <mergeCell ref="B25:D25"/>
    <mergeCell ref="E25:F25"/>
    <mergeCell ref="A26:D26"/>
    <mergeCell ref="E26:F26"/>
    <mergeCell ref="A28:G28"/>
    <mergeCell ref="A29:F29"/>
    <mergeCell ref="A30:F30"/>
    <mergeCell ref="A31:F31"/>
    <mergeCell ref="A33:G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5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2026-09-12T15:07:44Z</dcterms:created>
  <dc:creator>openpyxl</dc:creator>
  <dc:description/>
  <dc:language>en-US</dc:language>
  <cp:lastModifiedBy/>
  <dcterms:modified xsi:type="dcterms:W3CDTF">2026-09-12T15:07:44Z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