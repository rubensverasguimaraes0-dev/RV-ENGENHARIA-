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Mensal" sheetId="1" state="visible" r:id="rId3"/>
    <sheet name="Julho" sheetId="2" state="visible" r:id="rId4"/>
    <sheet name="Agosto" sheetId="3" state="visible" r:id="rId5"/>
    <sheet name="Setembr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<sst xmlns="http://schemas.openxmlformats.org/spreadsheetml/2006/main" count="252" uniqueCount="97">
  <si>
    <t xml:space="preserve">RESUMO MENSAL DA OBRA</t>
  </si>
  <si>
    <t xml:space="preserve">Obra: Selecta – Gil Martins  ·  Av. Gil Martins, 3144 – Três Andares – Teresina/PI  ·  RV Engenharia</t>
  </si>
  <si>
    <t xml:space="preserve">1. FECHAMENTO POR MÊS</t>
  </si>
  <si>
    <t xml:space="preserve">Mês</t>
  </si>
  <si>
    <t xml:space="preserve">Período</t>
  </si>
  <si>
    <t xml:space="preserve">Dias</t>
  </si>
  <si>
    <t xml:space="preserve">Diárias</t>
  </si>
  <si>
    <t xml:space="preserve">Mão de Obra (R$)</t>
  </si>
  <si>
    <t xml:space="preserve">Quentinhas (un.)</t>
  </si>
  <si>
    <t xml:space="preserve">Alim. e outros (R$)</t>
  </si>
  <si>
    <t xml:space="preserve">Total (R$)</t>
  </si>
  <si>
    <t xml:space="preserve">Julho</t>
  </si>
  <si>
    <t xml:space="preserve">20/07 a 31/07</t>
  </si>
  <si>
    <t xml:space="preserve">Agosto</t>
  </si>
  <si>
    <t xml:space="preserve">03/08 a 31/08</t>
  </si>
  <si>
    <t xml:space="preserve">Setembro (parcial)</t>
  </si>
  <si>
    <t xml:space="preserve">01/09 a 11/09 — parcial</t>
  </si>
  <si>
    <t xml:space="preserve">TOTAL ACUMULADO DA OBRA</t>
  </si>
  <si>
    <t xml:space="preserve">2. DIÁRIAS POR FUNCIONÁRIO, MÊS A MÊS</t>
  </si>
  <si>
    <t xml:space="preserve">Funcionário</t>
  </si>
  <si>
    <t xml:space="preserve">Função</t>
  </si>
  <si>
    <t xml:space="preserve">Diária (R$)</t>
  </si>
  <si>
    <t xml:space="preserve">Setembro</t>
  </si>
  <si>
    <t xml:space="preserve">Total diárias</t>
  </si>
  <si>
    <t xml:space="preserve">Total pago (R$)</t>
  </si>
  <si>
    <t xml:space="preserve">Thiago</t>
  </si>
  <si>
    <t xml:space="preserve">Pedreiro</t>
  </si>
  <si>
    <t xml:space="preserve">Wiliton</t>
  </si>
  <si>
    <t xml:space="preserve">Eletricista</t>
  </si>
  <si>
    <t xml:space="preserve">Gervasio</t>
  </si>
  <si>
    <t xml:space="preserve">Ajudante</t>
  </si>
  <si>
    <t xml:space="preserve">Máximo</t>
  </si>
  <si>
    <t xml:space="preserve">Amigo Máximo</t>
  </si>
  <si>
    <t xml:space="preserve">Wellington</t>
  </si>
  <si>
    <t xml:space="preserve">Servente</t>
  </si>
  <si>
    <t xml:space="preserve">Roberto Júnior</t>
  </si>
  <si>
    <t xml:space="preserve">Eduardo</t>
  </si>
  <si>
    <t xml:space="preserve">Rafael</t>
  </si>
  <si>
    <t xml:space="preserve">Iago</t>
  </si>
  <si>
    <t xml:space="preserve">Francisco</t>
  </si>
  <si>
    <t xml:space="preserve">Rufino</t>
  </si>
  <si>
    <t xml:space="preserve">Carlos</t>
  </si>
  <si>
    <t xml:space="preserve">TOTAL</t>
  </si>
  <si>
    <t xml:space="preserve">3. QUENTINHAS POR VALOR UNITÁRIO, MÊS A MÊS (UNIDADES) — E OUTROS CONSUMOS</t>
  </si>
  <si>
    <t xml:space="preserve">Valor unitário / item</t>
  </si>
  <si>
    <t xml:space="preserve">Total (un.)</t>
  </si>
  <si>
    <t xml:space="preserve">Custo (R$)</t>
  </si>
  <si>
    <t xml:space="preserve">Gelo</t>
  </si>
  <si>
    <t xml:space="preserve">Entrega de quentinhas</t>
  </si>
  <si>
    <t xml:space="preserve">TOTAL — ALIMENTAÇÃO E OUTROS</t>
  </si>
  <si>
    <t xml:space="preserve">Nota: o primeiro mês começa no início da obra. O mês corrente está parcial — inclui apenas os dias já lançados. Semanas que cruzam a virada do mês ficam divididas: no relatório semanal aparecem inteiras; aqui cada dia conta no seu mês do calendário. Na tabela 3, a coluna de unidades do total soma só quentinhas.</t>
  </si>
  <si>
    <t xml:space="preserve">FECHAMENTO MENSAL — JULHO/2026</t>
  </si>
  <si>
    <t xml:space="preserve">Obra: Selecta – Gil Martins  ·  Av. Gil Martins, 3144 – Três Andares – Teresina/PI  ·  RV Engenharia  ·  Período: 20/07 a 31/07</t>
  </si>
  <si>
    <t xml:space="preserve">1. LANÇAMENTOS DO MÊS</t>
  </si>
  <si>
    <t xml:space="preserve">Data</t>
  </si>
  <si>
    <t xml:space="preserve">Dia</t>
  </si>
  <si>
    <t xml:space="preserve">Semana</t>
  </si>
  <si>
    <t xml:space="preserve">Valor unit. (R$)</t>
  </si>
  <si>
    <t xml:space="preserve">Outros (R$)</t>
  </si>
  <si>
    <t xml:space="preserve">Total do Dia (R$)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</si>
  <si>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</si>
  <si>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</si>
  <si>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</si>
  <si>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</si>
  <si>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</si>
  <si>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Sábado</t>
  </si>
  <si>
    <t xml:space="preserve">TOTAL DE JULHO/2026</t>
  </si>
  <si>
    <t xml:space="preserve">Na linha de total, a coluna 'Valor unit.' mostra o custo total das quentinhas do mês.</t>
  </si>
  <si>
    <t xml:space="preserve">2. GASTOS POR FUNCIONÁRIO NO MÊS</t>
  </si>
  <si>
    <t xml:space="preserve">Diárias no mês</t>
  </si>
  <si>
    <t xml:space="preserve">TOTAL — MÃO DE OBRA DO MÊS</t>
  </si>
  <si>
    <t xml:space="preserve">3. QUENTINHAS DO MÊS — SEPARADO POR VALOR UNITÁRIO (E OUTROS CONSUMOS)</t>
  </si>
  <si>
    <t xml:space="preserve">Quantidade (un.)</t>
  </si>
  <si>
    <t xml:space="preserve">29/07, 30/07, 31/07</t>
  </si>
  <si>
    <t xml:space="preserve">20/07, 21/07, 22/07, 23/07, 24/07, 27/07, 28/07</t>
  </si>
  <si>
    <t xml:space="preserve">TOTAL DE QUENTINHAS DO MÊS</t>
  </si>
  <si>
    <t xml:space="preserve">4. GASTO GERAL DO MÊS</t>
  </si>
  <si>
    <t xml:space="preserve">Dias com lançamento</t>
  </si>
  <si>
    <t xml:space="preserve">Diárias trabalhadas</t>
  </si>
  <si>
    <t xml:space="preserve">Total de mão de obra</t>
  </si>
  <si>
    <t xml:space="preserve">Total de alimentação e outros</t>
  </si>
  <si>
    <t xml:space="preserve">GASTO GERAL — JULHO/2026</t>
  </si>
  <si>
    <t xml:space="preserve">FECHAMENTO MENSAL — AGOSTO/2026</t>
  </si>
  <si>
    <t xml:space="preserve">Obra: Selecta – Gil Martins  ·  Av. Gil Martins, 3144 – Três Andares – Teresina/PI  ·  RV Engenharia  ·  Período: 03/08 a 31/08</t>
  </si>
  <si>
    <t xml:space="preserve">TOTAL DE AGOSTO/2026</t>
  </si>
  <si>
    <t xml:space="preserve">03/08, 05/08</t>
  </si>
  <si>
    <t xml:space="preserve">06/08, 07/08, 10/08, 11/08, 12/08, 13/08, 17/08, 18/08, 19/08, 20/08, 24/08, 25/08</t>
  </si>
  <si>
    <t xml:space="preserve">04/08, 14/08, 26/08, 27/08, 28/08, 31/08</t>
  </si>
  <si>
    <t xml:space="preserve">GASTO GERAL — AGOSTO/2026</t>
  </si>
  <si>
    <t xml:space="preserve">FECHAMENTO MENSAL — SETEMBRO/2026  (PARCIAL)</t>
  </si>
  <si>
    <t xml:space="preserve">Obra: Selecta – Gil Martins  ·  Av. Gil Martins, 3144 – Três Andares – Teresina/PI  ·  RV Engenharia  ·  Período: 01/09 a 11/09 — parcial</t>
  </si>
  <si>
    <t xml:space="preserve">TOTAL DE SETEMBRO/2026</t>
  </si>
  <si>
    <t xml:space="preserve">01/09, 02/09, 03/09, 04/09, 08/09, 09/09, 10/09, 11/09</t>
  </si>
  <si>
    <t xml:space="preserve">08/09, 09/09, 10/09, 11/09</t>
  </si>
  <si>
    <t xml:space="preserve">10/09, 11/09</t>
  </si>
  <si>
    <t xml:space="preserve">TOTAL — ALIMENTAÇÃO E OUTROS DO MÊS</t>
  </si>
  <si>
    <t xml:space="preserve">GASTO GERAL — SETEMBRO/2026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</si>
</sst>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\-"/>
    <numFmt numFmtId="166" formatCode="0.0;\-0.0;\-"/>
    <numFmt numFmtId="167" formatCode="&quot;R$ &quot;#,##0.00;&quot;-R$ &quot;#,##0.00;\-"/>
    <numFmt numFmtId="168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C6E0B4"/>
        <bgColor rgb="FFD9E1F2"/>
      </patternFill>
    </fill>
    <fill>
      <patternFill patternType="solid">
        <fgColor rgb="FFEDEDED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3"/>
    <col collapsed="false" customWidth="true" hidden="false" outlineLevel="0" max="8" min="4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 t="s">
        <v>12</v>
      </c>
      <c r="C6" s="6" t="n">
        <v>11</v>
      </c>
      <c r="D6" s="7" t="n">
        <v>35</v>
      </c>
      <c r="E6" s="8" t="n">
        <v>4710</v>
      </c>
      <c r="F6" s="6" t="n">
        <v>31</v>
      </c>
      <c r="G6" s="8" t="n">
        <v>598</v>
      </c>
      <c r="H6" s="9" t="n">
        <f aca="false">E6+G6</f>
        <v>5308</v>
      </c>
    </row>
    <row r="7" customFormat="false" ht="15" hidden="false" customHeight="false" outlineLevel="0" collapsed="false">
      <c r="A7" s="5" t="s">
        <v>13</v>
      </c>
      <c r="B7" s="5" t="s">
        <v>14</v>
      </c>
      <c r="C7" s="6" t="n">
        <v>20</v>
      </c>
      <c r="D7" s="7" t="n">
        <v>48.5</v>
      </c>
      <c r="E7" s="8" t="n">
        <v>8545</v>
      </c>
      <c r="F7" s="6" t="n">
        <v>50</v>
      </c>
      <c r="G7" s="8" t="n">
        <v>938</v>
      </c>
      <c r="H7" s="9" t="n">
        <f aca="false">E7+G7</f>
        <v>9483</v>
      </c>
    </row>
    <row r="8" customFormat="false" ht="15" hidden="false" customHeight="false" outlineLevel="0" collapsed="false">
      <c r="A8" s="5" t="s">
        <v>15</v>
      </c>
      <c r="B8" s="5" t="s">
        <v>16</v>
      </c>
      <c r="C8" s="6" t="n">
        <v>9</v>
      </c>
      <c r="D8" s="7" t="n">
        <v>25</v>
      </c>
      <c r="E8" s="8" t="n">
        <v>3740</v>
      </c>
      <c r="F8" s="6" t="n">
        <v>24</v>
      </c>
      <c r="G8" s="8" t="n">
        <v>500</v>
      </c>
      <c r="H8" s="9" t="n">
        <f aca="false">E8+G8</f>
        <v>4240</v>
      </c>
    </row>
    <row r="9" customFormat="false" ht="15" hidden="false" customHeight="false" outlineLevel="0" collapsed="false">
      <c r="A9" s="10" t="s">
        <v>17</v>
      </c>
      <c r="B9" s="10"/>
      <c r="C9" s="11" t="n">
        <f aca="false">SUM(C6:C8)</f>
        <v>40</v>
      </c>
      <c r="D9" s="12" t="n">
        <f aca="false">SUM(D6:D8)</f>
        <v>108.5</v>
      </c>
      <c r="E9" s="13" t="n">
        <f aca="false">SUM(E6:E8)</f>
        <v>16995</v>
      </c>
      <c r="F9" s="11" t="n">
        <f aca="false">SUM(F6:F8)</f>
        <v>105</v>
      </c>
      <c r="G9" s="13" t="n">
        <f aca="false">SUM(G6:G8)</f>
        <v>2036</v>
      </c>
      <c r="H9" s="13" t="n">
        <f aca="false">SUM(H6:H8)</f>
        <v>19031</v>
      </c>
    </row>
    <row r="11" customFormat="false" ht="15" hidden="false" customHeight="false" outlineLevel="0" collapsed="false">
      <c r="A11" s="3" t="s">
        <v>18</v>
      </c>
      <c r="B11" s="3"/>
      <c r="C11" s="3"/>
      <c r="D11" s="3"/>
      <c r="E11" s="3"/>
      <c r="F11" s="3"/>
      <c r="G11" s="3"/>
      <c r="H11" s="3"/>
    </row>
    <row r="12" customFormat="false" ht="27.75" hidden="false" customHeight="true" outlineLevel="0" collapsed="false">
      <c r="A12" s="4" t="s">
        <v>19</v>
      </c>
      <c r="B12" s="4" t="s">
        <v>20</v>
      </c>
      <c r="C12" s="4" t="s">
        <v>21</v>
      </c>
      <c r="D12" s="4" t="s">
        <v>11</v>
      </c>
      <c r="E12" s="4" t="s">
        <v>13</v>
      </c>
      <c r="F12" s="4" t="s">
        <v>22</v>
      </c>
      <c r="G12" s="4" t="s">
        <v>23</v>
      </c>
      <c r="H12" s="4" t="s">
        <v>24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8" t="n">
        <v>200</v>
      </c>
      <c r="D13" s="7" t="n">
        <v>11</v>
      </c>
      <c r="E13" s="7" t="n">
        <v>20</v>
      </c>
      <c r="F13" s="7" t="n">
        <v>9</v>
      </c>
      <c r="G13" s="7" t="n">
        <f aca="false">SUM(D13:F13)</f>
        <v>40</v>
      </c>
      <c r="H13" s="9" t="n">
        <f aca="false">C13*G13</f>
        <v>8000</v>
      </c>
    </row>
    <row r="14" customFormat="false" ht="15" hidden="false" customHeight="false" outlineLevel="0" collapsed="false">
      <c r="A14" s="5" t="s">
        <v>27</v>
      </c>
      <c r="B14" s="5" t="s">
        <v>28</v>
      </c>
      <c r="C14" s="8" t="n">
        <v>200</v>
      </c>
      <c r="D14" s="7" t="n">
        <v>3</v>
      </c>
      <c r="E14" s="7" t="n">
        <v>17</v>
      </c>
      <c r="F14" s="7" t="n">
        <v>1</v>
      </c>
      <c r="G14" s="7" t="n">
        <f aca="false">SUM(D14:F14)</f>
        <v>21</v>
      </c>
      <c r="H14" s="9" t="n">
        <f aca="false">C14*G14</f>
        <v>4200</v>
      </c>
    </row>
    <row r="15" customFormat="false" ht="15" hidden="false" customHeight="false" outlineLevel="0" collapsed="false">
      <c r="A15" s="5" t="s">
        <v>29</v>
      </c>
      <c r="B15" s="5" t="s">
        <v>30</v>
      </c>
      <c r="C15" s="8" t="n">
        <v>90</v>
      </c>
      <c r="D15" s="7" t="n">
        <v>8</v>
      </c>
      <c r="E15" s="7" t="n">
        <v>0</v>
      </c>
      <c r="F15" s="7" t="n">
        <v>0</v>
      </c>
      <c r="G15" s="7" t="n">
        <f aca="false">SUM(D15:F15)</f>
        <v>8</v>
      </c>
      <c r="H15" s="9" t="n">
        <f aca="false">C15*G15</f>
        <v>720</v>
      </c>
    </row>
    <row r="16" customFormat="false" ht="15" hidden="false" customHeight="false" outlineLevel="0" collapsed="false">
      <c r="A16" s="5" t="s">
        <v>31</v>
      </c>
      <c r="B16" s="5" t="s">
        <v>30</v>
      </c>
      <c r="C16" s="8" t="n">
        <v>100</v>
      </c>
      <c r="D16" s="7" t="n">
        <v>1</v>
      </c>
      <c r="E16" s="7" t="n">
        <v>0</v>
      </c>
      <c r="F16" s="7" t="n">
        <v>3</v>
      </c>
      <c r="G16" s="7" t="n">
        <f aca="false">SUM(D16:F16)</f>
        <v>4</v>
      </c>
      <c r="H16" s="9" t="n">
        <f aca="false">C16*G16</f>
        <v>400</v>
      </c>
    </row>
    <row r="17" customFormat="false" ht="15" hidden="false" customHeight="false" outlineLevel="0" collapsed="false">
      <c r="A17" s="5" t="s">
        <v>32</v>
      </c>
      <c r="B17" s="5" t="s">
        <v>30</v>
      </c>
      <c r="C17" s="8" t="n">
        <v>100</v>
      </c>
      <c r="D17" s="7" t="n">
        <v>1</v>
      </c>
      <c r="E17" s="7" t="n">
        <v>0</v>
      </c>
      <c r="F17" s="7" t="n">
        <v>0</v>
      </c>
      <c r="G17" s="7" t="n">
        <f aca="false">SUM(D17:F17)</f>
        <v>1</v>
      </c>
      <c r="H17" s="9" t="n">
        <f aca="false">C17*G17</f>
        <v>100</v>
      </c>
    </row>
    <row r="18" customFormat="false" ht="15" hidden="false" customHeight="false" outlineLevel="0" collapsed="false">
      <c r="A18" s="5" t="s">
        <v>33</v>
      </c>
      <c r="B18" s="5" t="s">
        <v>34</v>
      </c>
      <c r="C18" s="8" t="n">
        <v>90</v>
      </c>
      <c r="D18" s="7" t="n">
        <v>4</v>
      </c>
      <c r="E18" s="7" t="n">
        <v>0</v>
      </c>
      <c r="F18" s="7" t="n">
        <v>0</v>
      </c>
      <c r="G18" s="7" t="n">
        <f aca="false">SUM(D18:F18)</f>
        <v>4</v>
      </c>
      <c r="H18" s="9" t="n">
        <f aca="false">C18*G18</f>
        <v>360</v>
      </c>
    </row>
    <row r="19" customFormat="false" ht="15" hidden="false" customHeight="false" outlineLevel="0" collapsed="false">
      <c r="A19" s="5" t="s">
        <v>35</v>
      </c>
      <c r="B19" s="5" t="s">
        <v>34</v>
      </c>
      <c r="C19" s="8" t="n">
        <v>90</v>
      </c>
      <c r="D19" s="7" t="n">
        <v>4</v>
      </c>
      <c r="E19" s="7" t="n">
        <v>0</v>
      </c>
      <c r="F19" s="7" t="n">
        <v>0</v>
      </c>
      <c r="G19" s="7" t="n">
        <f aca="false">SUM(D19:F19)</f>
        <v>4</v>
      </c>
      <c r="H19" s="9" t="n">
        <f aca="false">C19*G19</f>
        <v>360</v>
      </c>
    </row>
    <row r="20" customFormat="false" ht="15" hidden="false" customHeight="false" outlineLevel="0" collapsed="false">
      <c r="A20" s="5" t="s">
        <v>36</v>
      </c>
      <c r="B20" s="5" t="s">
        <v>34</v>
      </c>
      <c r="C20" s="8" t="n">
        <v>90</v>
      </c>
      <c r="D20" s="7" t="n">
        <v>3</v>
      </c>
      <c r="E20" s="7" t="n">
        <v>4</v>
      </c>
      <c r="F20" s="7" t="n">
        <v>0</v>
      </c>
      <c r="G20" s="7" t="n">
        <f aca="false">SUM(D20:F20)</f>
        <v>7</v>
      </c>
      <c r="H20" s="9" t="n">
        <f aca="false">C20*G20</f>
        <v>630</v>
      </c>
    </row>
    <row r="21" customFormat="false" ht="15" hidden="false" customHeight="false" outlineLevel="0" collapsed="false">
      <c r="A21" s="5" t="s">
        <v>37</v>
      </c>
      <c r="B21" s="5" t="s">
        <v>28</v>
      </c>
      <c r="C21" s="8" t="n">
        <v>200</v>
      </c>
      <c r="D21" s="7" t="n">
        <v>0</v>
      </c>
      <c r="E21" s="7" t="n">
        <v>1</v>
      </c>
      <c r="F21" s="7" t="n">
        <v>0</v>
      </c>
      <c r="G21" s="7" t="n">
        <f aca="false">SUM(D21:F21)</f>
        <v>1</v>
      </c>
      <c r="H21" s="9" t="n">
        <f aca="false">C21*G21</f>
        <v>200</v>
      </c>
    </row>
    <row r="22" customFormat="false" ht="15" hidden="false" customHeight="false" outlineLevel="0" collapsed="false">
      <c r="A22" s="5" t="s">
        <v>38</v>
      </c>
      <c r="B22" s="5" t="s">
        <v>34</v>
      </c>
      <c r="C22" s="8" t="n">
        <v>90</v>
      </c>
      <c r="D22" s="7" t="n">
        <v>0</v>
      </c>
      <c r="E22" s="7" t="n">
        <v>6.5</v>
      </c>
      <c r="F22" s="7" t="n">
        <v>0</v>
      </c>
      <c r="G22" s="7" t="n">
        <f aca="false">SUM(D22:F22)</f>
        <v>6.5</v>
      </c>
      <c r="H22" s="9" t="n">
        <f aca="false">C22*G22</f>
        <v>585</v>
      </c>
    </row>
    <row r="23" customFormat="false" ht="15" hidden="false" customHeight="false" outlineLevel="0" collapsed="false">
      <c r="A23" s="5" t="s">
        <v>39</v>
      </c>
      <c r="B23" s="5" t="s">
        <v>26</v>
      </c>
      <c r="C23" s="8" t="n">
        <v>160</v>
      </c>
      <c r="D23" s="7" t="n">
        <v>0</v>
      </c>
      <c r="E23" s="7" t="n">
        <v>0</v>
      </c>
      <c r="F23" s="7" t="n">
        <v>4</v>
      </c>
      <c r="G23" s="7" t="n">
        <f aca="false">SUM(D23:F23)</f>
        <v>4</v>
      </c>
      <c r="H23" s="9" t="n">
        <f aca="false">C23*G23</f>
        <v>640</v>
      </c>
    </row>
    <row r="24" customFormat="false" ht="15" hidden="false" customHeight="false" outlineLevel="0" collapsed="false">
      <c r="A24" s="5" t="s">
        <v>40</v>
      </c>
      <c r="B24" s="5" t="s">
        <v>34</v>
      </c>
      <c r="C24" s="8" t="n">
        <v>100</v>
      </c>
      <c r="D24" s="7" t="n">
        <v>0</v>
      </c>
      <c r="E24" s="7" t="n">
        <v>0</v>
      </c>
      <c r="F24" s="7" t="n">
        <v>4</v>
      </c>
      <c r="G24" s="7" t="n">
        <f aca="false">SUM(D24:F24)</f>
        <v>4</v>
      </c>
      <c r="H24" s="9" t="n">
        <f aca="false">C24*G24</f>
        <v>400</v>
      </c>
    </row>
    <row r="25" customFormat="false" ht="15" hidden="false" customHeight="false" outlineLevel="0" collapsed="false">
      <c r="A25" s="5" t="s">
        <v>41</v>
      </c>
      <c r="B25" s="5" t="s">
        <v>34</v>
      </c>
      <c r="C25" s="8" t="n">
        <v>100</v>
      </c>
      <c r="D25" s="7" t="n">
        <v>0</v>
      </c>
      <c r="E25" s="7" t="n">
        <v>0</v>
      </c>
      <c r="F25" s="7" t="n">
        <v>4</v>
      </c>
      <c r="G25" s="7" t="n">
        <f aca="false">SUM(D25:F25)</f>
        <v>4</v>
      </c>
      <c r="H25" s="9" t="n">
        <f aca="false">C25*G25</f>
        <v>400</v>
      </c>
    </row>
    <row r="26" customFormat="false" ht="15" hidden="false" customHeight="false" outlineLevel="0" collapsed="false">
      <c r="A26" s="14" t="s">
        <v>42</v>
      </c>
      <c r="B26" s="14"/>
      <c r="C26" s="14"/>
      <c r="D26" s="15" t="n">
        <f aca="false">SUM(D13:D25)</f>
        <v>35</v>
      </c>
      <c r="E26" s="15" t="n">
        <f aca="false">SUM(E13:E25)</f>
        <v>48.5</v>
      </c>
      <c r="F26" s="15" t="n">
        <f aca="false">SUM(F13:F25)</f>
        <v>25</v>
      </c>
      <c r="G26" s="15" t="n">
        <f aca="false">SUM(G13:G25)</f>
        <v>108.5</v>
      </c>
      <c r="H26" s="16" t="n">
        <f aca="false">SUM(H13:H25)</f>
        <v>16995</v>
      </c>
    </row>
    <row r="28" customFormat="false" ht="15" hidden="false" customHeight="false" outlineLevel="0" collapsed="false">
      <c r="A28" s="3" t="s">
        <v>43</v>
      </c>
      <c r="B28" s="3"/>
      <c r="C28" s="3"/>
      <c r="D28" s="3"/>
      <c r="E28" s="3"/>
      <c r="F28" s="3"/>
      <c r="G28" s="3"/>
      <c r="H28" s="3"/>
    </row>
    <row r="29" customFormat="false" ht="27.75" hidden="false" customHeight="true" outlineLevel="0" collapsed="false">
      <c r="A29" s="4" t="s">
        <v>44</v>
      </c>
      <c r="B29" s="4"/>
      <c r="C29" s="4"/>
      <c r="D29" s="4" t="s">
        <v>11</v>
      </c>
      <c r="E29" s="4" t="s">
        <v>13</v>
      </c>
      <c r="F29" s="4" t="s">
        <v>22</v>
      </c>
      <c r="G29" s="4" t="s">
        <v>45</v>
      </c>
      <c r="H29" s="4" t="s">
        <v>46</v>
      </c>
    </row>
    <row r="30" customFormat="false" ht="15" hidden="false" customHeight="false" outlineLevel="0" collapsed="false">
      <c r="A30" s="9" t="n">
        <v>15</v>
      </c>
      <c r="B30" s="9"/>
      <c r="C30" s="9"/>
      <c r="D30" s="6" t="n">
        <v>12</v>
      </c>
      <c r="E30" s="6" t="n">
        <v>6</v>
      </c>
      <c r="F30" s="6" t="n">
        <v>0</v>
      </c>
      <c r="G30" s="6" t="n">
        <f aca="false">SUM(D30:F30)</f>
        <v>18</v>
      </c>
      <c r="H30" s="9" t="n">
        <f aca="false">A30*G30</f>
        <v>270</v>
      </c>
    </row>
    <row r="31" customFormat="false" ht="15" hidden="false" customHeight="false" outlineLevel="0" collapsed="false">
      <c r="A31" s="9" t="n">
        <v>18</v>
      </c>
      <c r="B31" s="9"/>
      <c r="C31" s="9"/>
      <c r="D31" s="6" t="n">
        <v>0</v>
      </c>
      <c r="E31" s="6" t="n">
        <v>30</v>
      </c>
      <c r="F31" s="6" t="n">
        <v>24</v>
      </c>
      <c r="G31" s="6" t="n">
        <f aca="false">SUM(D31:F31)</f>
        <v>54</v>
      </c>
      <c r="H31" s="9" t="n">
        <f aca="false">A31*G31</f>
        <v>972</v>
      </c>
    </row>
    <row r="32" customFormat="false" ht="15" hidden="false" customHeight="false" outlineLevel="0" collapsed="false">
      <c r="A32" s="9" t="n">
        <v>22</v>
      </c>
      <c r="B32" s="9"/>
      <c r="C32" s="9"/>
      <c r="D32" s="6" t="n">
        <v>19</v>
      </c>
      <c r="E32" s="6" t="n">
        <v>14</v>
      </c>
      <c r="F32" s="6" t="n">
        <v>0</v>
      </c>
      <c r="G32" s="6" t="n">
        <f aca="false">SUM(D32:F32)</f>
        <v>33</v>
      </c>
      <c r="H32" s="9" t="n">
        <f aca="false">A32*G32</f>
        <v>726</v>
      </c>
    </row>
    <row r="33" customFormat="false" ht="15" hidden="false" customHeight="false" outlineLevel="0" collapsed="false">
      <c r="A33" s="17" t="s">
        <v>47</v>
      </c>
      <c r="B33" s="17"/>
      <c r="C33" s="17"/>
      <c r="D33" s="6" t="n">
        <v>0</v>
      </c>
      <c r="E33" s="6" t="n">
        <v>0</v>
      </c>
      <c r="F33" s="6" t="n">
        <v>8</v>
      </c>
      <c r="G33" s="6" t="n">
        <v>8</v>
      </c>
      <c r="H33" s="9" t="n">
        <v>48</v>
      </c>
    </row>
    <row r="34" customFormat="false" ht="15" hidden="false" customHeight="false" outlineLevel="0" collapsed="false">
      <c r="A34" s="17" t="s">
        <v>48</v>
      </c>
      <c r="B34" s="17"/>
      <c r="C34" s="17"/>
      <c r="D34" s="6" t="n">
        <v>0</v>
      </c>
      <c r="E34" s="6" t="n">
        <v>0</v>
      </c>
      <c r="F34" s="6" t="n">
        <v>2</v>
      </c>
      <c r="G34" s="6" t="n">
        <v>2</v>
      </c>
      <c r="H34" s="9" t="n">
        <v>20</v>
      </c>
    </row>
    <row r="35" customFormat="false" ht="15" hidden="false" customHeight="false" outlineLevel="0" collapsed="false">
      <c r="A35" s="14" t="s">
        <v>49</v>
      </c>
      <c r="B35" s="14"/>
      <c r="C35" s="14"/>
      <c r="D35" s="18" t="n">
        <f aca="false">SUM(D30:D32)</f>
        <v>31</v>
      </c>
      <c r="E35" s="18" t="n">
        <f aca="false">SUM(E30:E32)</f>
        <v>50</v>
      </c>
      <c r="F35" s="18" t="n">
        <f aca="false">SUM(F30:F32)</f>
        <v>24</v>
      </c>
      <c r="G35" s="18" t="n">
        <f aca="false">SUM(G30:G32)</f>
        <v>105</v>
      </c>
      <c r="H35" s="16" t="n">
        <f aca="false">SUM(H30:H34)</f>
        <v>2036</v>
      </c>
    </row>
    <row r="37" customFormat="false" ht="15" hidden="false" customHeight="true" outlineLevel="0" collapsed="false">
      <c r="A37" s="19" t="s">
        <v>50</v>
      </c>
      <c r="B37" s="19"/>
      <c r="C37" s="19"/>
      <c r="D37" s="19"/>
      <c r="E37" s="19"/>
      <c r="F37" s="19"/>
      <c r="G37" s="19"/>
      <c r="H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</row>
  </sheetData>
  <mergeCells count="15">
    <mergeCell ref="A1:H1"/>
    <mergeCell ref="A2:H2"/>
    <mergeCell ref="A4:H4"/>
    <mergeCell ref="A9:B9"/>
    <mergeCell ref="A11:H11"/>
    <mergeCell ref="A26:C26"/>
    <mergeCell ref="A28:H28"/>
    <mergeCell ref="A29:C29"/>
    <mergeCell ref="A30:C30"/>
    <mergeCell ref="A31:C31"/>
    <mergeCell ref="A32:C32"/>
    <mergeCell ref="A33:C33"/>
    <mergeCell ref="A34:C34"/>
    <mergeCell ref="A35:C35"/>
    <mergeCell ref="A37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7" min="6" style="0" width="15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6.15" hidden="false" customHeight="false" outlineLevel="0" collapsed="false">
      <c r="A1" s="20" t="s">
        <v>51</v>
      </c>
      <c r="B1" s="20"/>
      <c r="C1" s="20"/>
      <c r="D1" s="20"/>
      <c r="E1" s="20"/>
      <c r="F1" s="20"/>
      <c r="G1" s="20"/>
      <c r="H1" s="20"/>
      <c r="I1" s="20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53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54</v>
      </c>
      <c r="B5" s="4" t="s">
        <v>55</v>
      </c>
      <c r="C5" s="4" t="s">
        <v>56</v>
      </c>
      <c r="D5" s="4" t="s">
        <v>6</v>
      </c>
      <c r="E5" s="4" t="s">
        <v>7</v>
      </c>
      <c r="F5" s="4" t="s">
        <v>8</v>
      </c>
      <c r="G5" s="4" t="s">
        <v>57</v>
      </c>
      <c r="H5" s="4" t="s">
        <v>58</v>
      </c>
      <c r="I5" s="4" t="s">
        <v>59</v>
      </c>
    </row>
    <row r="6" customFormat="false" ht="15" hidden="false" customHeight="false" outlineLevel="0" collapsed="false">
      <c r="A6" s="21" t="n">
        <v>46223</v>
      </c>
      <c r="B6" s="22" t="s">
        <v>60</v>
      </c>
      <c r="C6" s="22" t="n">
        <v>1</v>
      </c>
      <c r="D6" s="7" t="n">
        <v>2</v>
      </c>
      <c r="E6" s="8" t="n">
        <v>290</v>
      </c>
      <c r="F6" s="6" t="n">
        <v>2</v>
      </c>
      <c r="G6" s="8" t="n">
        <v>22</v>
      </c>
      <c r="H6" s="8" t="n">
        <v>0</v>
      </c>
      <c r="I6" s="9" t="n">
        <f aca="false">E6+F6*G6+H6</f>
        <v>334</v>
      </c>
    </row>
    <row r="7" customFormat="false" ht="15" hidden="false" customHeight="false" outlineLevel="0" collapsed="false">
      <c r="A7" s="21" t="n">
        <v>46224</v>
      </c>
      <c r="B7" s="22" t="s">
        <v>61</v>
      </c>
      <c r="C7" s="22" t="n">
        <v>1</v>
      </c>
      <c r="D7" s="7" t="n">
        <v>2</v>
      </c>
      <c r="E7" s="8" t="n">
        <v>290</v>
      </c>
      <c r="F7" s="6" t="n">
        <v>2</v>
      </c>
      <c r="G7" s="8" t="n">
        <v>22</v>
      </c>
      <c r="H7" s="8" t="n">
        <v>0</v>
      </c>
      <c r="I7" s="9" t="n">
        <f aca="false">E7+F7*G7+H7</f>
        <v>334</v>
      </c>
    </row>
    <row r="8" customFormat="false" ht="15" hidden="false" customHeight="false" outlineLevel="0" collapsed="false">
      <c r="A8" s="21" t="n">
        <v>46225</v>
      </c>
      <c r="B8" s="22" t="s">
        <v>62</v>
      </c>
      <c r="C8" s="22" t="n">
        <v>1</v>
      </c>
      <c r="D8" s="7" t="n">
        <v>2</v>
      </c>
      <c r="E8" s="8" t="n">
        <v>290</v>
      </c>
      <c r="F8" s="6" t="n">
        <v>2</v>
      </c>
      <c r="G8" s="8" t="n">
        <v>22</v>
      </c>
      <c r="H8" s="8" t="n">
        <v>0</v>
      </c>
      <c r="I8" s="9" t="n">
        <f aca="false">E8+F8*G8+H8</f>
        <v>334</v>
      </c>
    </row>
    <row r="9" customFormat="false" ht="15" hidden="false" customHeight="false" outlineLevel="0" collapsed="false">
      <c r="A9" s="21" t="n">
        <v>46226</v>
      </c>
      <c r="B9" s="22" t="s">
        <v>63</v>
      </c>
      <c r="C9" s="22" t="n">
        <v>1</v>
      </c>
      <c r="D9" s="7" t="n">
        <v>3</v>
      </c>
      <c r="E9" s="8" t="n">
        <v>490</v>
      </c>
      <c r="F9" s="6" t="n">
        <v>3</v>
      </c>
      <c r="G9" s="8" t="n">
        <v>22</v>
      </c>
      <c r="H9" s="8" t="n">
        <v>0</v>
      </c>
      <c r="I9" s="9" t="n">
        <f aca="false">E9+F9*G9+H9</f>
        <v>556</v>
      </c>
    </row>
    <row r="10" customFormat="false" ht="15" hidden="false" customHeight="false" outlineLevel="0" collapsed="false">
      <c r="A10" s="21" t="n">
        <v>46227</v>
      </c>
      <c r="B10" s="22" t="s">
        <v>64</v>
      </c>
      <c r="C10" s="22" t="n">
        <v>1</v>
      </c>
      <c r="D10" s="7" t="n">
        <v>3</v>
      </c>
      <c r="E10" s="8" t="n">
        <v>490</v>
      </c>
      <c r="F10" s="6" t="n">
        <v>3</v>
      </c>
      <c r="G10" s="8" t="n">
        <v>22</v>
      </c>
      <c r="H10" s="8" t="n">
        <v>0</v>
      </c>
      <c r="I10" s="9" t="n">
        <f aca="false">E10+F10*G10+H10</f>
        <v>556</v>
      </c>
    </row>
    <row r="11" customFormat="false" ht="15" hidden="false" customHeight="false" outlineLevel="0" collapsed="false">
      <c r="A11" s="21" t="n">
        <v>46228</v>
      </c>
      <c r="B11" s="22" t="s">
        <v>65</v>
      </c>
      <c r="C11" s="22" t="n">
        <v>1</v>
      </c>
      <c r="D11" s="7" t="n">
        <v>4</v>
      </c>
      <c r="E11" s="8" t="n">
        <v>490</v>
      </c>
      <c r="F11" s="6" t="n">
        <v>0</v>
      </c>
      <c r="G11" s="8" t="n">
        <v>22</v>
      </c>
      <c r="H11" s="8" t="n">
        <v>0</v>
      </c>
      <c r="I11" s="9" t="n">
        <f aca="false">E11+F11*G11+H11</f>
        <v>490</v>
      </c>
    </row>
    <row r="12" customFormat="false" ht="15" hidden="false" customHeight="false" outlineLevel="0" collapsed="false">
      <c r="A12" s="21" t="n">
        <v>46230</v>
      </c>
      <c r="B12" s="22" t="s">
        <v>60</v>
      </c>
      <c r="C12" s="22" t="n">
        <v>2</v>
      </c>
      <c r="D12" s="7" t="n">
        <v>3</v>
      </c>
      <c r="E12" s="8" t="n">
        <v>490</v>
      </c>
      <c r="F12" s="6" t="n">
        <v>3</v>
      </c>
      <c r="G12" s="8" t="n">
        <v>22</v>
      </c>
      <c r="H12" s="8" t="n">
        <v>0</v>
      </c>
      <c r="I12" s="9" t="n">
        <f aca="false">E12+F12*G12+H12</f>
        <v>556</v>
      </c>
    </row>
    <row r="13" customFormat="false" ht="15" hidden="false" customHeight="false" outlineLevel="0" collapsed="false">
      <c r="A13" s="21" t="n">
        <v>46231</v>
      </c>
      <c r="B13" s="22" t="s">
        <v>61</v>
      </c>
      <c r="C13" s="22" t="n">
        <v>2</v>
      </c>
      <c r="D13" s="7" t="n">
        <v>4</v>
      </c>
      <c r="E13" s="8" t="n">
        <v>470</v>
      </c>
      <c r="F13" s="6" t="n">
        <v>4</v>
      </c>
      <c r="G13" s="8" t="n">
        <v>22</v>
      </c>
      <c r="H13" s="8" t="n">
        <v>0</v>
      </c>
      <c r="I13" s="9" t="n">
        <f aca="false">E13+F13*G13+H13</f>
        <v>558</v>
      </c>
    </row>
    <row r="14" customFormat="false" ht="15" hidden="false" customHeight="false" outlineLevel="0" collapsed="false">
      <c r="A14" s="21" t="n">
        <v>46232</v>
      </c>
      <c r="B14" s="22" t="s">
        <v>62</v>
      </c>
      <c r="C14" s="22" t="n">
        <v>2</v>
      </c>
      <c r="D14" s="7" t="n">
        <v>4</v>
      </c>
      <c r="E14" s="8" t="n">
        <v>470</v>
      </c>
      <c r="F14" s="6" t="n">
        <v>4</v>
      </c>
      <c r="G14" s="8" t="n">
        <v>15</v>
      </c>
      <c r="H14" s="8" t="n">
        <v>0</v>
      </c>
      <c r="I14" s="9" t="n">
        <f aca="false">E14+F14*G14+H14</f>
        <v>530</v>
      </c>
    </row>
    <row r="15" customFormat="false" ht="15" hidden="false" customHeight="false" outlineLevel="0" collapsed="false">
      <c r="A15" s="21" t="n">
        <v>46233</v>
      </c>
      <c r="B15" s="22" t="s">
        <v>63</v>
      </c>
      <c r="C15" s="22" t="n">
        <v>2</v>
      </c>
      <c r="D15" s="7" t="n">
        <v>4</v>
      </c>
      <c r="E15" s="8" t="n">
        <v>470</v>
      </c>
      <c r="F15" s="6" t="n">
        <v>4</v>
      </c>
      <c r="G15" s="8" t="n">
        <v>15</v>
      </c>
      <c r="H15" s="8" t="n">
        <v>0</v>
      </c>
      <c r="I15" s="9" t="n">
        <f aca="false">E15+F15*G15+H15</f>
        <v>530</v>
      </c>
    </row>
    <row r="16" customFormat="false" ht="15" hidden="false" customHeight="false" outlineLevel="0" collapsed="false">
      <c r="A16" s="21" t="n">
        <v>46234</v>
      </c>
      <c r="B16" s="22" t="s">
        <v>64</v>
      </c>
      <c r="C16" s="22" t="n">
        <v>2</v>
      </c>
      <c r="D16" s="7" t="n">
        <v>4</v>
      </c>
      <c r="E16" s="8" t="n">
        <v>470</v>
      </c>
      <c r="F16" s="6" t="n">
        <v>4</v>
      </c>
      <c r="G16" s="8" t="n">
        <v>15</v>
      </c>
      <c r="H16" s="8" t="n">
        <v>0</v>
      </c>
      <c r="I16" s="9" t="n">
        <f aca="false">E16+F16*G16+H16</f>
        <v>530</v>
      </c>
    </row>
    <row r="17" customFormat="false" ht="15" hidden="false" customHeight="false" outlineLevel="0" collapsed="false">
      <c r="A17" s="10" t="s">
        <v>66</v>
      </c>
      <c r="B17" s="10"/>
      <c r="C17" s="10"/>
      <c r="D17" s="23" t="n">
        <f aca="false">SUM(D6:D16)</f>
        <v>35</v>
      </c>
      <c r="E17" s="13" t="n">
        <f aca="false">SUM(E6:E16)</f>
        <v>4710</v>
      </c>
      <c r="F17" s="24" t="n">
        <f aca="false">SUM(F6:F16)</f>
        <v>31</v>
      </c>
      <c r="G17" s="13" t="n">
        <f aca="false">I17-E17-H17</f>
        <v>598</v>
      </c>
      <c r="H17" s="13" t="n">
        <f aca="false">SUM(H6:H16)</f>
        <v>0</v>
      </c>
      <c r="I17" s="13" t="n">
        <f aca="false">SUM(I6:I16)</f>
        <v>5308</v>
      </c>
    </row>
    <row r="18" customFormat="false" ht="15" hidden="false" customHeight="false" outlineLevel="0" collapsed="false">
      <c r="A18" s="25" t="s">
        <v>67</v>
      </c>
      <c r="B18" s="25"/>
      <c r="C18" s="25"/>
      <c r="D18" s="25"/>
      <c r="E18" s="25"/>
      <c r="F18" s="25"/>
      <c r="G18" s="25"/>
      <c r="H18" s="25"/>
      <c r="I18" s="25"/>
    </row>
    <row r="20" customFormat="false" ht="15" hidden="false" customHeight="false" outlineLevel="0" collapsed="false">
      <c r="A20" s="3" t="s">
        <v>68</v>
      </c>
      <c r="B20" s="3"/>
      <c r="C20" s="3"/>
      <c r="D20" s="3"/>
      <c r="E20" s="3"/>
      <c r="F20" s="3"/>
      <c r="G20" s="3"/>
      <c r="H20" s="3"/>
    </row>
    <row r="21" customFormat="false" ht="27.75" hidden="false" customHeight="true" outlineLevel="0" collapsed="false">
      <c r="A21" s="4" t="s">
        <v>19</v>
      </c>
      <c r="B21" s="4" t="s">
        <v>20</v>
      </c>
      <c r="C21" s="4" t="s">
        <v>21</v>
      </c>
      <c r="D21" s="4" t="s">
        <v>69</v>
      </c>
      <c r="E21" s="4"/>
      <c r="F21" s="4"/>
      <c r="G21" s="4"/>
      <c r="H21" s="4" t="s">
        <v>10</v>
      </c>
    </row>
    <row r="22" customFormat="false" ht="15" hidden="false" customHeight="false" outlineLevel="0" collapsed="false">
      <c r="A22" s="5" t="s">
        <v>25</v>
      </c>
      <c r="B22" s="5" t="s">
        <v>26</v>
      </c>
      <c r="C22" s="8" t="n">
        <v>200</v>
      </c>
      <c r="D22" s="7" t="n">
        <v>11</v>
      </c>
      <c r="E22" s="7"/>
      <c r="F22" s="7"/>
      <c r="G22" s="7"/>
      <c r="H22" s="9" t="n">
        <f aca="false">C22*D22</f>
        <v>2200</v>
      </c>
    </row>
    <row r="23" customFormat="false" ht="15" hidden="false" customHeight="false" outlineLevel="0" collapsed="false">
      <c r="A23" s="5" t="s">
        <v>27</v>
      </c>
      <c r="B23" s="5" t="s">
        <v>28</v>
      </c>
      <c r="C23" s="8" t="n">
        <v>200</v>
      </c>
      <c r="D23" s="7" t="n">
        <v>3</v>
      </c>
      <c r="E23" s="7"/>
      <c r="F23" s="7"/>
      <c r="G23" s="7"/>
      <c r="H23" s="9" t="n">
        <f aca="false">C23*D23</f>
        <v>600</v>
      </c>
    </row>
    <row r="24" customFormat="false" ht="15" hidden="false" customHeight="false" outlineLevel="0" collapsed="false">
      <c r="A24" s="5" t="s">
        <v>29</v>
      </c>
      <c r="B24" s="5" t="s">
        <v>30</v>
      </c>
      <c r="C24" s="8" t="n">
        <v>90</v>
      </c>
      <c r="D24" s="7" t="n">
        <v>8</v>
      </c>
      <c r="E24" s="7"/>
      <c r="F24" s="7"/>
      <c r="G24" s="7"/>
      <c r="H24" s="9" t="n">
        <f aca="false">C24*D24</f>
        <v>720</v>
      </c>
    </row>
    <row r="25" customFormat="false" ht="15" hidden="false" customHeight="false" outlineLevel="0" collapsed="false">
      <c r="A25" s="5" t="s">
        <v>31</v>
      </c>
      <c r="B25" s="5" t="s">
        <v>30</v>
      </c>
      <c r="C25" s="8" t="n">
        <v>100</v>
      </c>
      <c r="D25" s="7" t="n">
        <v>1</v>
      </c>
      <c r="E25" s="7"/>
      <c r="F25" s="7"/>
      <c r="G25" s="7"/>
      <c r="H25" s="9" t="n">
        <f aca="false">C25*D25</f>
        <v>100</v>
      </c>
    </row>
    <row r="26" customFormat="false" ht="15" hidden="false" customHeight="false" outlineLevel="0" collapsed="false">
      <c r="A26" s="5" t="s">
        <v>32</v>
      </c>
      <c r="B26" s="5" t="s">
        <v>30</v>
      </c>
      <c r="C26" s="8" t="n">
        <v>100</v>
      </c>
      <c r="D26" s="7" t="n">
        <v>1</v>
      </c>
      <c r="E26" s="7"/>
      <c r="F26" s="7"/>
      <c r="G26" s="7"/>
      <c r="H26" s="9" t="n">
        <f aca="false">C26*D26</f>
        <v>100</v>
      </c>
    </row>
    <row r="27" customFormat="false" ht="15" hidden="false" customHeight="false" outlineLevel="0" collapsed="false">
      <c r="A27" s="5" t="s">
        <v>33</v>
      </c>
      <c r="B27" s="5" t="s">
        <v>34</v>
      </c>
      <c r="C27" s="8" t="n">
        <v>90</v>
      </c>
      <c r="D27" s="7" t="n">
        <v>4</v>
      </c>
      <c r="E27" s="7"/>
      <c r="F27" s="7"/>
      <c r="G27" s="7"/>
      <c r="H27" s="9" t="n">
        <f aca="false">C27*D27</f>
        <v>360</v>
      </c>
    </row>
    <row r="28" customFormat="false" ht="15" hidden="false" customHeight="false" outlineLevel="0" collapsed="false">
      <c r="A28" s="5" t="s">
        <v>35</v>
      </c>
      <c r="B28" s="5" t="s">
        <v>34</v>
      </c>
      <c r="C28" s="8" t="n">
        <v>90</v>
      </c>
      <c r="D28" s="7" t="n">
        <v>4</v>
      </c>
      <c r="E28" s="7"/>
      <c r="F28" s="7"/>
      <c r="G28" s="7"/>
      <c r="H28" s="9" t="n">
        <f aca="false">C28*D28</f>
        <v>360</v>
      </c>
    </row>
    <row r="29" customFormat="false" ht="15" hidden="false" customHeight="false" outlineLevel="0" collapsed="false">
      <c r="A29" s="5" t="s">
        <v>36</v>
      </c>
      <c r="B29" s="5" t="s">
        <v>34</v>
      </c>
      <c r="C29" s="8" t="n">
        <v>90</v>
      </c>
      <c r="D29" s="7" t="n">
        <v>3</v>
      </c>
      <c r="E29" s="7"/>
      <c r="F29" s="7"/>
      <c r="G29" s="7"/>
      <c r="H29" s="9" t="n">
        <f aca="false">C29*D29</f>
        <v>270</v>
      </c>
    </row>
    <row r="30" customFormat="false" ht="15" hidden="false" customHeight="false" outlineLevel="0" collapsed="false">
      <c r="A30" s="14" t="s">
        <v>70</v>
      </c>
      <c r="B30" s="14"/>
      <c r="C30" s="14"/>
      <c r="D30" s="15" t="n">
        <f aca="false">SUM(D22:D29)</f>
        <v>35</v>
      </c>
      <c r="E30" s="15"/>
      <c r="F30" s="15"/>
      <c r="G30" s="15"/>
      <c r="H30" s="16" t="n">
        <f aca="false">SUM(H22:H29)</f>
        <v>4710</v>
      </c>
    </row>
    <row r="32" customFormat="false" ht="15" hidden="false" customHeight="false" outlineLevel="0" collapsed="false">
      <c r="A32" s="3" t="s">
        <v>71</v>
      </c>
      <c r="B32" s="3"/>
      <c r="C32" s="3"/>
      <c r="D32" s="3"/>
      <c r="E32" s="3"/>
      <c r="F32" s="3"/>
      <c r="G32" s="3"/>
      <c r="H32" s="3"/>
    </row>
    <row r="33" customFormat="false" ht="27.75" hidden="false" customHeight="true" outlineLevel="0" collapsed="false">
      <c r="A33" s="4" t="s">
        <v>44</v>
      </c>
      <c r="B33" s="4" t="s">
        <v>5</v>
      </c>
      <c r="C33" s="4"/>
      <c r="D33" s="4"/>
      <c r="E33" s="4"/>
      <c r="F33" s="4" t="s">
        <v>72</v>
      </c>
      <c r="G33" s="4"/>
      <c r="H33" s="4" t="s">
        <v>46</v>
      </c>
    </row>
    <row r="34" customFormat="false" ht="15" hidden="false" customHeight="false" outlineLevel="0" collapsed="false">
      <c r="A34" s="9" t="n">
        <v>15</v>
      </c>
      <c r="B34" s="26" t="s">
        <v>73</v>
      </c>
      <c r="C34" s="26"/>
      <c r="D34" s="26"/>
      <c r="E34" s="26"/>
      <c r="F34" s="6" t="n">
        <v>12</v>
      </c>
      <c r="G34" s="6"/>
      <c r="H34" s="9" t="n">
        <f aca="false">A34*F34</f>
        <v>180</v>
      </c>
    </row>
    <row r="35" customFormat="false" ht="15" hidden="false" customHeight="false" outlineLevel="0" collapsed="false">
      <c r="A35" s="9" t="n">
        <v>22</v>
      </c>
      <c r="B35" s="26" t="s">
        <v>74</v>
      </c>
      <c r="C35" s="26"/>
      <c r="D35" s="26"/>
      <c r="E35" s="26"/>
      <c r="F35" s="6" t="n">
        <v>19</v>
      </c>
      <c r="G35" s="6"/>
      <c r="H35" s="9" t="n">
        <f aca="false">A35*F35</f>
        <v>418</v>
      </c>
    </row>
    <row r="36" customFormat="false" ht="15" hidden="false" customHeight="false" outlineLevel="0" collapsed="false">
      <c r="A36" s="14" t="s">
        <v>75</v>
      </c>
      <c r="B36" s="14"/>
      <c r="C36" s="14"/>
      <c r="D36" s="14"/>
      <c r="E36" s="14"/>
      <c r="F36" s="18" t="n">
        <f aca="false">SUM(F34:F35)</f>
        <v>31</v>
      </c>
      <c r="G36" s="18"/>
      <c r="H36" s="16" t="n">
        <f aca="false">SUM(H34:H35)</f>
        <v>598</v>
      </c>
    </row>
    <row r="38" customFormat="false" ht="15" hidden="false" customHeight="false" outlineLevel="0" collapsed="false">
      <c r="A38" s="3" t="s">
        <v>76</v>
      </c>
      <c r="B38" s="3"/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5" t="s">
        <v>77</v>
      </c>
      <c r="B39" s="5"/>
      <c r="C39" s="5"/>
      <c r="D39" s="5"/>
      <c r="E39" s="5"/>
      <c r="F39" s="5"/>
      <c r="G39" s="5"/>
      <c r="H39" s="27" t="n">
        <v>11</v>
      </c>
    </row>
    <row r="40" customFormat="false" ht="15" hidden="false" customHeight="false" outlineLevel="0" collapsed="false">
      <c r="A40" s="5" t="s">
        <v>78</v>
      </c>
      <c r="B40" s="5"/>
      <c r="C40" s="5"/>
      <c r="D40" s="5"/>
      <c r="E40" s="5"/>
      <c r="F40" s="5"/>
      <c r="G40" s="5"/>
      <c r="H40" s="28" t="n">
        <v>35</v>
      </c>
    </row>
    <row r="41" customFormat="false" ht="15" hidden="false" customHeight="false" outlineLevel="0" collapsed="false">
      <c r="A41" s="5" t="s">
        <v>79</v>
      </c>
      <c r="B41" s="5"/>
      <c r="C41" s="5"/>
      <c r="D41" s="5"/>
      <c r="E41" s="5"/>
      <c r="F41" s="5"/>
      <c r="G41" s="5"/>
      <c r="H41" s="8" t="n">
        <v>4710</v>
      </c>
    </row>
    <row r="42" customFormat="false" ht="15" hidden="false" customHeight="false" outlineLevel="0" collapsed="false">
      <c r="A42" s="5" t="s">
        <v>80</v>
      </c>
      <c r="B42" s="5"/>
      <c r="C42" s="5"/>
      <c r="D42" s="5"/>
      <c r="E42" s="5"/>
      <c r="F42" s="5"/>
      <c r="G42" s="5"/>
      <c r="H42" s="8" t="n">
        <v>598</v>
      </c>
    </row>
    <row r="43" customFormat="false" ht="15" hidden="false" customHeight="false" outlineLevel="0" collapsed="false">
      <c r="A43" s="29" t="s">
        <v>81</v>
      </c>
      <c r="B43" s="29"/>
      <c r="C43" s="29"/>
      <c r="D43" s="29"/>
      <c r="E43" s="29"/>
      <c r="F43" s="29"/>
      <c r="G43" s="29"/>
      <c r="H43" s="30" t="n">
        <f aca="false">H41+H42</f>
        <v>5308</v>
      </c>
    </row>
  </sheetData>
  <mergeCells count="32">
    <mergeCell ref="A1:I1"/>
    <mergeCell ref="A2:I2"/>
    <mergeCell ref="A4:I4"/>
    <mergeCell ref="A17:C17"/>
    <mergeCell ref="A18:I18"/>
    <mergeCell ref="A20:H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A30:C30"/>
    <mergeCell ref="D30:G30"/>
    <mergeCell ref="A32:H32"/>
    <mergeCell ref="B33:E33"/>
    <mergeCell ref="F33:G33"/>
    <mergeCell ref="B34:E34"/>
    <mergeCell ref="F34:G34"/>
    <mergeCell ref="B35:E35"/>
    <mergeCell ref="F35:G35"/>
    <mergeCell ref="A36:E36"/>
    <mergeCell ref="F36:G36"/>
    <mergeCell ref="A38:H38"/>
    <mergeCell ref="A39:G39"/>
    <mergeCell ref="A40:G40"/>
    <mergeCell ref="A41:G41"/>
    <mergeCell ref="A42:G42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7" min="6" style="0" width="15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6.15" hidden="false" customHeight="false" outlineLevel="0" collapsed="false">
      <c r="A1" s="20" t="s">
        <v>82</v>
      </c>
      <c r="B1" s="20"/>
      <c r="C1" s="20"/>
      <c r="D1" s="20"/>
      <c r="E1" s="20"/>
      <c r="F1" s="20"/>
      <c r="G1" s="20"/>
      <c r="H1" s="20"/>
      <c r="I1" s="20"/>
    </row>
    <row r="2" customFormat="false" ht="15" hidden="false" customHeight="false" outlineLevel="0" collapsed="false">
      <c r="A2" s="2" t="s">
        <v>83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53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54</v>
      </c>
      <c r="B5" s="4" t="s">
        <v>55</v>
      </c>
      <c r="C5" s="4" t="s">
        <v>56</v>
      </c>
      <c r="D5" s="4" t="s">
        <v>6</v>
      </c>
      <c r="E5" s="4" t="s">
        <v>7</v>
      </c>
      <c r="F5" s="4" t="s">
        <v>8</v>
      </c>
      <c r="G5" s="4" t="s">
        <v>57</v>
      </c>
      <c r="H5" s="4" t="s">
        <v>58</v>
      </c>
      <c r="I5" s="4" t="s">
        <v>59</v>
      </c>
    </row>
    <row r="6" customFormat="false" ht="15" hidden="false" customHeight="false" outlineLevel="0" collapsed="false">
      <c r="A6" s="21" t="n">
        <v>46237</v>
      </c>
      <c r="B6" s="22" t="s">
        <v>60</v>
      </c>
      <c r="C6" s="22" t="n">
        <v>3</v>
      </c>
      <c r="D6" s="7" t="n">
        <v>3</v>
      </c>
      <c r="E6" s="8" t="n">
        <v>490</v>
      </c>
      <c r="F6" s="6" t="n">
        <v>3</v>
      </c>
      <c r="G6" s="8" t="n">
        <v>15</v>
      </c>
      <c r="H6" s="8" t="n">
        <v>0</v>
      </c>
      <c r="I6" s="9" t="n">
        <f aca="false">E6+F6*G6+H6</f>
        <v>535</v>
      </c>
    </row>
    <row r="7" customFormat="false" ht="15" hidden="false" customHeight="false" outlineLevel="0" collapsed="false">
      <c r="A7" s="21" t="n">
        <v>46238</v>
      </c>
      <c r="B7" s="22" t="s">
        <v>61</v>
      </c>
      <c r="C7" s="22" t="n">
        <v>3</v>
      </c>
      <c r="D7" s="7" t="n">
        <v>3</v>
      </c>
      <c r="E7" s="8" t="n">
        <v>490</v>
      </c>
      <c r="F7" s="6" t="n">
        <v>3</v>
      </c>
      <c r="G7" s="8" t="n">
        <v>22</v>
      </c>
      <c r="H7" s="8" t="n">
        <v>0</v>
      </c>
      <c r="I7" s="9" t="n">
        <f aca="false">E7+F7*G7+H7</f>
        <v>556</v>
      </c>
    </row>
    <row r="8" customFormat="false" ht="15" hidden="false" customHeight="false" outlineLevel="0" collapsed="false">
      <c r="A8" s="21" t="n">
        <v>46239</v>
      </c>
      <c r="B8" s="22" t="s">
        <v>62</v>
      </c>
      <c r="C8" s="22" t="n">
        <v>3</v>
      </c>
      <c r="D8" s="7" t="n">
        <v>3</v>
      </c>
      <c r="E8" s="8" t="n">
        <v>490</v>
      </c>
      <c r="F8" s="6" t="n">
        <v>3</v>
      </c>
      <c r="G8" s="8" t="n">
        <v>15</v>
      </c>
      <c r="H8" s="8" t="n">
        <v>0</v>
      </c>
      <c r="I8" s="9" t="n">
        <f aca="false">E8+F8*G8+H8</f>
        <v>535</v>
      </c>
    </row>
    <row r="9" customFormat="false" ht="15" hidden="false" customHeight="false" outlineLevel="0" collapsed="false">
      <c r="A9" s="21" t="n">
        <v>46240</v>
      </c>
      <c r="B9" s="22" t="s">
        <v>63</v>
      </c>
      <c r="C9" s="22" t="n">
        <v>3</v>
      </c>
      <c r="D9" s="7" t="n">
        <v>3</v>
      </c>
      <c r="E9" s="8" t="n">
        <v>490</v>
      </c>
      <c r="F9" s="6" t="n">
        <v>3</v>
      </c>
      <c r="G9" s="8" t="n">
        <v>18</v>
      </c>
      <c r="H9" s="8" t="n">
        <v>0</v>
      </c>
      <c r="I9" s="9" t="n">
        <f aca="false">E9+F9*G9+H9</f>
        <v>544</v>
      </c>
    </row>
    <row r="10" customFormat="false" ht="15" hidden="false" customHeight="false" outlineLevel="0" collapsed="false">
      <c r="A10" s="21" t="n">
        <v>46241</v>
      </c>
      <c r="B10" s="22" t="s">
        <v>64</v>
      </c>
      <c r="C10" s="22" t="n">
        <v>3</v>
      </c>
      <c r="D10" s="7" t="n">
        <v>2</v>
      </c>
      <c r="E10" s="8" t="n">
        <v>400</v>
      </c>
      <c r="F10" s="6" t="n">
        <v>2</v>
      </c>
      <c r="G10" s="8" t="n">
        <v>18</v>
      </c>
      <c r="H10" s="8" t="n">
        <v>0</v>
      </c>
      <c r="I10" s="9" t="n">
        <f aca="false">E10+F10*G10+H10</f>
        <v>436</v>
      </c>
    </row>
    <row r="11" customFormat="false" ht="15" hidden="false" customHeight="false" outlineLevel="0" collapsed="false">
      <c r="A11" s="21" t="n">
        <v>46244</v>
      </c>
      <c r="B11" s="22" t="s">
        <v>60</v>
      </c>
      <c r="C11" s="22" t="n">
        <v>4</v>
      </c>
      <c r="D11" s="7" t="n">
        <v>2</v>
      </c>
      <c r="E11" s="8" t="n">
        <v>400</v>
      </c>
      <c r="F11" s="6" t="n">
        <v>2</v>
      </c>
      <c r="G11" s="8" t="n">
        <v>18</v>
      </c>
      <c r="H11" s="8" t="n">
        <v>0</v>
      </c>
      <c r="I11" s="9" t="n">
        <f aca="false">E11+F11*G11+H11</f>
        <v>436</v>
      </c>
    </row>
    <row r="12" customFormat="false" ht="15" hidden="false" customHeight="false" outlineLevel="0" collapsed="false">
      <c r="A12" s="21" t="n">
        <v>46245</v>
      </c>
      <c r="B12" s="22" t="s">
        <v>61</v>
      </c>
      <c r="C12" s="22" t="n">
        <v>4</v>
      </c>
      <c r="D12" s="7" t="n">
        <v>3</v>
      </c>
      <c r="E12" s="8" t="n">
        <v>600</v>
      </c>
      <c r="F12" s="6" t="n">
        <v>4</v>
      </c>
      <c r="G12" s="8" t="n">
        <v>18</v>
      </c>
      <c r="H12" s="8" t="n">
        <v>0</v>
      </c>
      <c r="I12" s="9" t="n">
        <f aca="false">E12+F12*G12+H12</f>
        <v>672</v>
      </c>
    </row>
    <row r="13" customFormat="false" ht="15" hidden="false" customHeight="false" outlineLevel="0" collapsed="false">
      <c r="A13" s="21" t="n">
        <v>46246</v>
      </c>
      <c r="B13" s="22" t="s">
        <v>62</v>
      </c>
      <c r="C13" s="22" t="n">
        <v>4</v>
      </c>
      <c r="D13" s="7" t="n">
        <v>1.5</v>
      </c>
      <c r="E13" s="8" t="n">
        <v>245</v>
      </c>
      <c r="F13" s="6" t="n">
        <v>2</v>
      </c>
      <c r="G13" s="8" t="n">
        <v>18</v>
      </c>
      <c r="H13" s="8" t="n">
        <v>0</v>
      </c>
      <c r="I13" s="9" t="n">
        <f aca="false">E13+F13*G13+H13</f>
        <v>281</v>
      </c>
    </row>
    <row r="14" customFormat="false" ht="15" hidden="false" customHeight="false" outlineLevel="0" collapsed="false">
      <c r="A14" s="21" t="n">
        <v>46247</v>
      </c>
      <c r="B14" s="22" t="s">
        <v>63</v>
      </c>
      <c r="C14" s="22" t="n">
        <v>4</v>
      </c>
      <c r="D14" s="7" t="n">
        <v>2</v>
      </c>
      <c r="E14" s="8" t="n">
        <v>290</v>
      </c>
      <c r="F14" s="6" t="n">
        <v>2</v>
      </c>
      <c r="G14" s="8" t="n">
        <v>18</v>
      </c>
      <c r="H14" s="8" t="n">
        <v>0</v>
      </c>
      <c r="I14" s="9" t="n">
        <f aca="false">E14+F14*G14+H14</f>
        <v>326</v>
      </c>
    </row>
    <row r="15" customFormat="false" ht="15" hidden="false" customHeight="false" outlineLevel="0" collapsed="false">
      <c r="A15" s="21" t="n">
        <v>46248</v>
      </c>
      <c r="B15" s="22" t="s">
        <v>64</v>
      </c>
      <c r="C15" s="22" t="n">
        <v>4</v>
      </c>
      <c r="D15" s="7" t="n">
        <v>3</v>
      </c>
      <c r="E15" s="8" t="n">
        <v>490</v>
      </c>
      <c r="F15" s="6" t="n">
        <v>3</v>
      </c>
      <c r="G15" s="8" t="n">
        <v>22</v>
      </c>
      <c r="H15" s="8" t="n">
        <v>0</v>
      </c>
      <c r="I15" s="9" t="n">
        <f aca="false">E15+F15*G15+H15</f>
        <v>556</v>
      </c>
    </row>
    <row r="16" customFormat="false" ht="15" hidden="false" customHeight="false" outlineLevel="0" collapsed="false">
      <c r="A16" s="21" t="n">
        <v>46251</v>
      </c>
      <c r="B16" s="22" t="s">
        <v>60</v>
      </c>
      <c r="C16" s="22" t="n">
        <v>5</v>
      </c>
      <c r="D16" s="7" t="n">
        <v>3</v>
      </c>
      <c r="E16" s="8" t="n">
        <v>490</v>
      </c>
      <c r="F16" s="6" t="n">
        <v>3</v>
      </c>
      <c r="G16" s="8" t="n">
        <v>18</v>
      </c>
      <c r="H16" s="8" t="n">
        <v>0</v>
      </c>
      <c r="I16" s="9" t="n">
        <f aca="false">E16+F16*G16+H16</f>
        <v>544</v>
      </c>
    </row>
    <row r="17" customFormat="false" ht="15" hidden="false" customHeight="false" outlineLevel="0" collapsed="false">
      <c r="A17" s="21" t="n">
        <v>46252</v>
      </c>
      <c r="B17" s="22" t="s">
        <v>61</v>
      </c>
      <c r="C17" s="22" t="n">
        <v>5</v>
      </c>
      <c r="D17" s="7" t="n">
        <v>3</v>
      </c>
      <c r="E17" s="8" t="n">
        <v>490</v>
      </c>
      <c r="F17" s="6" t="n">
        <v>3</v>
      </c>
      <c r="G17" s="8" t="n">
        <v>18</v>
      </c>
      <c r="H17" s="8" t="n">
        <v>0</v>
      </c>
      <c r="I17" s="9" t="n">
        <f aca="false">E17+F17*G17+H17</f>
        <v>544</v>
      </c>
    </row>
    <row r="18" customFormat="false" ht="15" hidden="false" customHeight="false" outlineLevel="0" collapsed="false">
      <c r="A18" s="21" t="n">
        <v>46253</v>
      </c>
      <c r="B18" s="22" t="s">
        <v>62</v>
      </c>
      <c r="C18" s="22" t="n">
        <v>5</v>
      </c>
      <c r="D18" s="7" t="n">
        <v>3</v>
      </c>
      <c r="E18" s="8" t="n">
        <v>490</v>
      </c>
      <c r="F18" s="6" t="n">
        <v>3</v>
      </c>
      <c r="G18" s="8" t="n">
        <v>18</v>
      </c>
      <c r="H18" s="8" t="n">
        <v>0</v>
      </c>
      <c r="I18" s="9" t="n">
        <f aca="false">E18+F18*G18+H18</f>
        <v>544</v>
      </c>
    </row>
    <row r="19" customFormat="false" ht="15" hidden="false" customHeight="false" outlineLevel="0" collapsed="false">
      <c r="A19" s="21" t="n">
        <v>46254</v>
      </c>
      <c r="B19" s="22" t="s">
        <v>63</v>
      </c>
      <c r="C19" s="22" t="n">
        <v>5</v>
      </c>
      <c r="D19" s="7" t="n">
        <v>3</v>
      </c>
      <c r="E19" s="8" t="n">
        <v>490</v>
      </c>
      <c r="F19" s="6" t="n">
        <v>3</v>
      </c>
      <c r="G19" s="8" t="n">
        <v>18</v>
      </c>
      <c r="H19" s="8" t="n">
        <v>0</v>
      </c>
      <c r="I19" s="9" t="n">
        <f aca="false">E19+F19*G19+H19</f>
        <v>544</v>
      </c>
    </row>
    <row r="20" customFormat="false" ht="15" hidden="false" customHeight="false" outlineLevel="0" collapsed="false">
      <c r="A20" s="21" t="n">
        <v>46258</v>
      </c>
      <c r="B20" s="22" t="s">
        <v>60</v>
      </c>
      <c r="C20" s="22" t="n">
        <v>6</v>
      </c>
      <c r="D20" s="7" t="n">
        <v>1</v>
      </c>
      <c r="E20" s="8" t="n">
        <v>200</v>
      </c>
      <c r="F20" s="6" t="n">
        <v>1</v>
      </c>
      <c r="G20" s="8" t="n">
        <v>18</v>
      </c>
      <c r="H20" s="8" t="n">
        <v>0</v>
      </c>
      <c r="I20" s="9" t="n">
        <f aca="false">E20+F20*G20+H20</f>
        <v>218</v>
      </c>
    </row>
    <row r="21" customFormat="false" ht="15" hidden="false" customHeight="false" outlineLevel="0" collapsed="false">
      <c r="A21" s="21" t="n">
        <v>46259</v>
      </c>
      <c r="B21" s="22" t="s">
        <v>61</v>
      </c>
      <c r="C21" s="22" t="n">
        <v>6</v>
      </c>
      <c r="D21" s="7" t="n">
        <v>2</v>
      </c>
      <c r="E21" s="8" t="n">
        <v>400</v>
      </c>
      <c r="F21" s="6" t="n">
        <v>2</v>
      </c>
      <c r="G21" s="8" t="n">
        <v>18</v>
      </c>
      <c r="H21" s="8" t="n">
        <v>0</v>
      </c>
      <c r="I21" s="9" t="n">
        <f aca="false">E21+F21*G21+H21</f>
        <v>436</v>
      </c>
    </row>
    <row r="22" customFormat="false" ht="15" hidden="false" customHeight="false" outlineLevel="0" collapsed="false">
      <c r="A22" s="21" t="n">
        <v>46260</v>
      </c>
      <c r="B22" s="22" t="s">
        <v>62</v>
      </c>
      <c r="C22" s="22" t="n">
        <v>6</v>
      </c>
      <c r="D22" s="7" t="n">
        <v>2</v>
      </c>
      <c r="E22" s="8" t="n">
        <v>400</v>
      </c>
      <c r="F22" s="6" t="n">
        <v>2</v>
      </c>
      <c r="G22" s="8" t="n">
        <v>22</v>
      </c>
      <c r="H22" s="8" t="n">
        <v>0</v>
      </c>
      <c r="I22" s="9" t="n">
        <f aca="false">E22+F22*G22+H22</f>
        <v>444</v>
      </c>
    </row>
    <row r="23" customFormat="false" ht="15" hidden="false" customHeight="false" outlineLevel="0" collapsed="false">
      <c r="A23" s="21" t="n">
        <v>46261</v>
      </c>
      <c r="B23" s="22" t="s">
        <v>63</v>
      </c>
      <c r="C23" s="22" t="n">
        <v>6</v>
      </c>
      <c r="D23" s="7" t="n">
        <v>2</v>
      </c>
      <c r="E23" s="8" t="n">
        <v>400</v>
      </c>
      <c r="F23" s="6" t="n">
        <v>2</v>
      </c>
      <c r="G23" s="8" t="n">
        <v>22</v>
      </c>
      <c r="H23" s="8" t="n">
        <v>0</v>
      </c>
      <c r="I23" s="9" t="n">
        <f aca="false">E23+F23*G23+H23</f>
        <v>444</v>
      </c>
    </row>
    <row r="24" customFormat="false" ht="15" hidden="false" customHeight="false" outlineLevel="0" collapsed="false">
      <c r="A24" s="21" t="n">
        <v>46262</v>
      </c>
      <c r="B24" s="22" t="s">
        <v>64</v>
      </c>
      <c r="C24" s="22" t="n">
        <v>6</v>
      </c>
      <c r="D24" s="7" t="n">
        <v>2</v>
      </c>
      <c r="E24" s="8" t="n">
        <v>400</v>
      </c>
      <c r="F24" s="6" t="n">
        <v>2</v>
      </c>
      <c r="G24" s="8" t="n">
        <v>22</v>
      </c>
      <c r="H24" s="8" t="n">
        <v>0</v>
      </c>
      <c r="I24" s="9" t="n">
        <f aca="false">E24+F24*G24+H24</f>
        <v>444</v>
      </c>
    </row>
    <row r="25" customFormat="false" ht="15" hidden="false" customHeight="false" outlineLevel="0" collapsed="false">
      <c r="A25" s="21" t="n">
        <v>46265</v>
      </c>
      <c r="B25" s="22" t="s">
        <v>60</v>
      </c>
      <c r="C25" s="22" t="n">
        <v>7</v>
      </c>
      <c r="D25" s="7" t="n">
        <v>2</v>
      </c>
      <c r="E25" s="8" t="n">
        <v>400</v>
      </c>
      <c r="F25" s="6" t="n">
        <v>2</v>
      </c>
      <c r="G25" s="8" t="n">
        <v>22</v>
      </c>
      <c r="H25" s="8" t="n">
        <v>0</v>
      </c>
      <c r="I25" s="9" t="n">
        <f aca="false">E25+F25*G25+H25</f>
        <v>444</v>
      </c>
    </row>
    <row r="26" customFormat="false" ht="15" hidden="false" customHeight="false" outlineLevel="0" collapsed="false">
      <c r="A26" s="10" t="s">
        <v>84</v>
      </c>
      <c r="B26" s="10"/>
      <c r="C26" s="10"/>
      <c r="D26" s="23" t="n">
        <f aca="false">SUM(D6:D25)</f>
        <v>48.5</v>
      </c>
      <c r="E26" s="13" t="n">
        <f aca="false">SUM(E6:E25)</f>
        <v>8545</v>
      </c>
      <c r="F26" s="24" t="n">
        <f aca="false">SUM(F6:F25)</f>
        <v>50</v>
      </c>
      <c r="G26" s="13" t="n">
        <f aca="false">I26-E26-H26</f>
        <v>938</v>
      </c>
      <c r="H26" s="13" t="n">
        <f aca="false">SUM(H6:H25)</f>
        <v>0</v>
      </c>
      <c r="I26" s="13" t="n">
        <f aca="false">SUM(I6:I25)</f>
        <v>9483</v>
      </c>
    </row>
    <row r="27" customFormat="false" ht="15" hidden="false" customHeight="false" outlineLevel="0" collapsed="false">
      <c r="A27" s="25" t="s">
        <v>67</v>
      </c>
      <c r="B27" s="25"/>
      <c r="C27" s="25"/>
      <c r="D27" s="25"/>
      <c r="E27" s="25"/>
      <c r="F27" s="25"/>
      <c r="G27" s="25"/>
      <c r="H27" s="25"/>
      <c r="I27" s="25"/>
    </row>
    <row r="29" customFormat="false" ht="15" hidden="false" customHeight="false" outlineLevel="0" collapsed="false">
      <c r="A29" s="3" t="s">
        <v>68</v>
      </c>
      <c r="B29" s="3"/>
      <c r="C29" s="3"/>
      <c r="D29" s="3"/>
      <c r="E29" s="3"/>
      <c r="F29" s="3"/>
      <c r="G29" s="3"/>
      <c r="H29" s="3"/>
    </row>
    <row r="30" customFormat="false" ht="27.75" hidden="false" customHeight="true" outlineLevel="0" collapsed="false">
      <c r="A30" s="4" t="s">
        <v>19</v>
      </c>
      <c r="B30" s="4" t="s">
        <v>20</v>
      </c>
      <c r="C30" s="4" t="s">
        <v>21</v>
      </c>
      <c r="D30" s="4" t="s">
        <v>69</v>
      </c>
      <c r="E30" s="4"/>
      <c r="F30" s="4"/>
      <c r="G30" s="4"/>
      <c r="H30" s="4" t="s">
        <v>10</v>
      </c>
    </row>
    <row r="31" customFormat="false" ht="15" hidden="false" customHeight="false" outlineLevel="0" collapsed="false">
      <c r="A31" s="5" t="s">
        <v>25</v>
      </c>
      <c r="B31" s="5" t="s">
        <v>26</v>
      </c>
      <c r="C31" s="8" t="n">
        <v>200</v>
      </c>
      <c r="D31" s="7" t="n">
        <v>20</v>
      </c>
      <c r="E31" s="7"/>
      <c r="F31" s="7"/>
      <c r="G31" s="7"/>
      <c r="H31" s="9" t="n">
        <f aca="false">C31*D31</f>
        <v>4000</v>
      </c>
    </row>
    <row r="32" customFormat="false" ht="15" hidden="false" customHeight="false" outlineLevel="0" collapsed="false">
      <c r="A32" s="5" t="s">
        <v>27</v>
      </c>
      <c r="B32" s="5" t="s">
        <v>28</v>
      </c>
      <c r="C32" s="8" t="n">
        <v>200</v>
      </c>
      <c r="D32" s="7" t="n">
        <v>17</v>
      </c>
      <c r="E32" s="7"/>
      <c r="F32" s="7"/>
      <c r="G32" s="7"/>
      <c r="H32" s="9" t="n">
        <f aca="false">C32*D32</f>
        <v>3400</v>
      </c>
    </row>
    <row r="33" customFormat="false" ht="15" hidden="false" customHeight="false" outlineLevel="0" collapsed="false">
      <c r="A33" s="5" t="s">
        <v>36</v>
      </c>
      <c r="B33" s="5" t="s">
        <v>34</v>
      </c>
      <c r="C33" s="8" t="n">
        <v>90</v>
      </c>
      <c r="D33" s="7" t="n">
        <v>4</v>
      </c>
      <c r="E33" s="7"/>
      <c r="F33" s="7"/>
      <c r="G33" s="7"/>
      <c r="H33" s="9" t="n">
        <f aca="false">C33*D33</f>
        <v>360</v>
      </c>
    </row>
    <row r="34" customFormat="false" ht="15" hidden="false" customHeight="false" outlineLevel="0" collapsed="false">
      <c r="A34" s="5" t="s">
        <v>37</v>
      </c>
      <c r="B34" s="5" t="s">
        <v>28</v>
      </c>
      <c r="C34" s="8" t="n">
        <v>200</v>
      </c>
      <c r="D34" s="7" t="n">
        <v>1</v>
      </c>
      <c r="E34" s="7"/>
      <c r="F34" s="7"/>
      <c r="G34" s="7"/>
      <c r="H34" s="9" t="n">
        <f aca="false">C34*D34</f>
        <v>200</v>
      </c>
    </row>
    <row r="35" customFormat="false" ht="15" hidden="false" customHeight="false" outlineLevel="0" collapsed="false">
      <c r="A35" s="5" t="s">
        <v>38</v>
      </c>
      <c r="B35" s="5" t="s">
        <v>34</v>
      </c>
      <c r="C35" s="8" t="n">
        <v>90</v>
      </c>
      <c r="D35" s="7" t="n">
        <v>6.5</v>
      </c>
      <c r="E35" s="7"/>
      <c r="F35" s="7"/>
      <c r="G35" s="7"/>
      <c r="H35" s="9" t="n">
        <f aca="false">C35*D35</f>
        <v>585</v>
      </c>
    </row>
    <row r="36" customFormat="false" ht="15" hidden="false" customHeight="false" outlineLevel="0" collapsed="false">
      <c r="A36" s="14" t="s">
        <v>70</v>
      </c>
      <c r="B36" s="14"/>
      <c r="C36" s="14"/>
      <c r="D36" s="15" t="n">
        <f aca="false">SUM(D31:D35)</f>
        <v>48.5</v>
      </c>
      <c r="E36" s="15"/>
      <c r="F36" s="15"/>
      <c r="G36" s="15"/>
      <c r="H36" s="16" t="n">
        <f aca="false">SUM(H31:H35)</f>
        <v>8545</v>
      </c>
    </row>
    <row r="38" customFormat="false" ht="15" hidden="false" customHeight="false" outlineLevel="0" collapsed="false">
      <c r="A38" s="3" t="s">
        <v>71</v>
      </c>
      <c r="B38" s="3"/>
      <c r="C38" s="3"/>
      <c r="D38" s="3"/>
      <c r="E38" s="3"/>
      <c r="F38" s="3"/>
      <c r="G38" s="3"/>
      <c r="H38" s="3"/>
    </row>
    <row r="39" customFormat="false" ht="27.75" hidden="false" customHeight="true" outlineLevel="0" collapsed="false">
      <c r="A39" s="4" t="s">
        <v>44</v>
      </c>
      <c r="B39" s="4" t="s">
        <v>5</v>
      </c>
      <c r="C39" s="4"/>
      <c r="D39" s="4"/>
      <c r="E39" s="4"/>
      <c r="F39" s="4" t="s">
        <v>72</v>
      </c>
      <c r="G39" s="4"/>
      <c r="H39" s="4" t="s">
        <v>46</v>
      </c>
    </row>
    <row r="40" customFormat="false" ht="15" hidden="false" customHeight="false" outlineLevel="0" collapsed="false">
      <c r="A40" s="9" t="n">
        <v>15</v>
      </c>
      <c r="B40" s="26" t="s">
        <v>85</v>
      </c>
      <c r="C40" s="26"/>
      <c r="D40" s="26"/>
      <c r="E40" s="26"/>
      <c r="F40" s="6" t="n">
        <v>6</v>
      </c>
      <c r="G40" s="6"/>
      <c r="H40" s="9" t="n">
        <f aca="false">A40*F40</f>
        <v>90</v>
      </c>
    </row>
    <row r="41" customFormat="false" ht="15" hidden="false" customHeight="false" outlineLevel="0" collapsed="false">
      <c r="A41" s="9" t="n">
        <v>18</v>
      </c>
      <c r="B41" s="26" t="s">
        <v>86</v>
      </c>
      <c r="C41" s="26"/>
      <c r="D41" s="26"/>
      <c r="E41" s="26"/>
      <c r="F41" s="6" t="n">
        <v>30</v>
      </c>
      <c r="G41" s="6"/>
      <c r="H41" s="9" t="n">
        <f aca="false">A41*F41</f>
        <v>540</v>
      </c>
    </row>
    <row r="42" customFormat="false" ht="15" hidden="false" customHeight="false" outlineLevel="0" collapsed="false">
      <c r="A42" s="9" t="n">
        <v>22</v>
      </c>
      <c r="B42" s="26" t="s">
        <v>87</v>
      </c>
      <c r="C42" s="26"/>
      <c r="D42" s="26"/>
      <c r="E42" s="26"/>
      <c r="F42" s="6" t="n">
        <v>14</v>
      </c>
      <c r="G42" s="6"/>
      <c r="H42" s="9" t="n">
        <f aca="false">A42*F42</f>
        <v>308</v>
      </c>
    </row>
    <row r="43" customFormat="false" ht="15" hidden="false" customHeight="false" outlineLevel="0" collapsed="false">
      <c r="A43" s="14" t="s">
        <v>75</v>
      </c>
      <c r="B43" s="14"/>
      <c r="C43" s="14"/>
      <c r="D43" s="14"/>
      <c r="E43" s="14"/>
      <c r="F43" s="18" t="n">
        <f aca="false">SUM(F40:F42)</f>
        <v>50</v>
      </c>
      <c r="G43" s="18"/>
      <c r="H43" s="16" t="n">
        <f aca="false">SUM(H40:H42)</f>
        <v>938</v>
      </c>
    </row>
    <row r="45" customFormat="false" ht="15" hidden="false" customHeight="false" outlineLevel="0" collapsed="false">
      <c r="A45" s="3" t="s">
        <v>76</v>
      </c>
      <c r="B45" s="3"/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5" t="s">
        <v>77</v>
      </c>
      <c r="B46" s="5"/>
      <c r="C46" s="5"/>
      <c r="D46" s="5"/>
      <c r="E46" s="5"/>
      <c r="F46" s="5"/>
      <c r="G46" s="5"/>
      <c r="H46" s="27" t="n">
        <v>20</v>
      </c>
    </row>
    <row r="47" customFormat="false" ht="15" hidden="false" customHeight="false" outlineLevel="0" collapsed="false">
      <c r="A47" s="5" t="s">
        <v>78</v>
      </c>
      <c r="B47" s="5"/>
      <c r="C47" s="5"/>
      <c r="D47" s="5"/>
      <c r="E47" s="5"/>
      <c r="F47" s="5"/>
      <c r="G47" s="5"/>
      <c r="H47" s="28" t="n">
        <v>48.5</v>
      </c>
    </row>
    <row r="48" customFormat="false" ht="15" hidden="false" customHeight="false" outlineLevel="0" collapsed="false">
      <c r="A48" s="5" t="s">
        <v>79</v>
      </c>
      <c r="B48" s="5"/>
      <c r="C48" s="5"/>
      <c r="D48" s="5"/>
      <c r="E48" s="5"/>
      <c r="F48" s="5"/>
      <c r="G48" s="5"/>
      <c r="H48" s="8" t="n">
        <v>8545</v>
      </c>
    </row>
    <row r="49" customFormat="false" ht="15" hidden="false" customHeight="false" outlineLevel="0" collapsed="false">
      <c r="A49" s="5" t="s">
        <v>80</v>
      </c>
      <c r="B49" s="5"/>
      <c r="C49" s="5"/>
      <c r="D49" s="5"/>
      <c r="E49" s="5"/>
      <c r="F49" s="5"/>
      <c r="G49" s="5"/>
      <c r="H49" s="8" t="n">
        <v>938</v>
      </c>
    </row>
    <row r="50" customFormat="false" ht="15" hidden="false" customHeight="false" outlineLevel="0" collapsed="false">
      <c r="A50" s="29" t="s">
        <v>88</v>
      </c>
      <c r="B50" s="29"/>
      <c r="C50" s="29"/>
      <c r="D50" s="29"/>
      <c r="E50" s="29"/>
      <c r="F50" s="29"/>
      <c r="G50" s="29"/>
      <c r="H50" s="30" t="n">
        <f aca="false">H48+H49</f>
        <v>9483</v>
      </c>
    </row>
  </sheetData>
  <mergeCells count="31">
    <mergeCell ref="A1:I1"/>
    <mergeCell ref="A2:I2"/>
    <mergeCell ref="A4:I4"/>
    <mergeCell ref="A26:C26"/>
    <mergeCell ref="A27:I27"/>
    <mergeCell ref="A29:H29"/>
    <mergeCell ref="D30:G30"/>
    <mergeCell ref="D31:G31"/>
    <mergeCell ref="D32:G32"/>
    <mergeCell ref="D33:G33"/>
    <mergeCell ref="D34:G34"/>
    <mergeCell ref="D35:G35"/>
    <mergeCell ref="A36:C36"/>
    <mergeCell ref="D36:G36"/>
    <mergeCell ref="A38:H38"/>
    <mergeCell ref="B39:E39"/>
    <mergeCell ref="F39:G39"/>
    <mergeCell ref="B40:E40"/>
    <mergeCell ref="F40:G40"/>
    <mergeCell ref="B41:E41"/>
    <mergeCell ref="F41:G41"/>
    <mergeCell ref="B42:E42"/>
    <mergeCell ref="F42:G42"/>
    <mergeCell ref="A43:E43"/>
    <mergeCell ref="F43:G43"/>
    <mergeCell ref="A45:H45"/>
    <mergeCell ref="A46:G46"/>
    <mergeCell ref="A47:G47"/>
    <mergeCell ref="A48:G48"/>
    <mergeCell ref="A49:G49"/>
    <mergeCell ref="A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7" min="6" style="0" width="15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6.15" hidden="false" customHeight="false" outlineLevel="0" collapsed="false">
      <c r="A1" s="20" t="s">
        <v>89</v>
      </c>
      <c r="B1" s="20"/>
      <c r="C1" s="20"/>
      <c r="D1" s="20"/>
      <c r="E1" s="20"/>
      <c r="F1" s="20"/>
      <c r="G1" s="20"/>
      <c r="H1" s="20"/>
      <c r="I1" s="20"/>
    </row>
    <row r="2" customFormat="false" ht="15" hidden="false" customHeight="false" outlineLevel="0" collapsed="false">
      <c r="A2" s="2" t="s">
        <v>90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53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54</v>
      </c>
      <c r="B5" s="4" t="s">
        <v>55</v>
      </c>
      <c r="C5" s="4" t="s">
        <v>56</v>
      </c>
      <c r="D5" s="4" t="s">
        <v>6</v>
      </c>
      <c r="E5" s="4" t="s">
        <v>7</v>
      </c>
      <c r="F5" s="4" t="s">
        <v>8</v>
      </c>
      <c r="G5" s="4" t="s">
        <v>57</v>
      </c>
      <c r="H5" s="4" t="s">
        <v>58</v>
      </c>
      <c r="I5" s="4" t="s">
        <v>59</v>
      </c>
    </row>
    <row r="6" customFormat="false" ht="15" hidden="false" customHeight="false" outlineLevel="0" collapsed="false">
      <c r="A6" s="21" t="n">
        <v>46266</v>
      </c>
      <c r="B6" s="22" t="s">
        <v>61</v>
      </c>
      <c r="C6" s="22" t="n">
        <v>7</v>
      </c>
      <c r="D6" s="7" t="n">
        <v>1</v>
      </c>
      <c r="E6" s="8" t="n">
        <v>200</v>
      </c>
      <c r="F6" s="6" t="n">
        <v>1</v>
      </c>
      <c r="G6" s="8" t="n">
        <v>18</v>
      </c>
      <c r="H6" s="8" t="n">
        <v>0</v>
      </c>
      <c r="I6" s="9" t="n">
        <f aca="false">E6+F6*G6+H6</f>
        <v>218</v>
      </c>
    </row>
    <row r="7" customFormat="false" ht="15" hidden="false" customHeight="false" outlineLevel="0" collapsed="false">
      <c r="A7" s="21" t="n">
        <v>46267</v>
      </c>
      <c r="B7" s="22" t="s">
        <v>62</v>
      </c>
      <c r="C7" s="22" t="n">
        <v>7</v>
      </c>
      <c r="D7" s="7" t="n">
        <v>3</v>
      </c>
      <c r="E7" s="8" t="n">
        <v>500</v>
      </c>
      <c r="F7" s="6" t="n">
        <v>3</v>
      </c>
      <c r="G7" s="8" t="n">
        <v>18</v>
      </c>
      <c r="H7" s="8" t="n">
        <v>0</v>
      </c>
      <c r="I7" s="9" t="n">
        <f aca="false">E7+F7*G7+H7</f>
        <v>554</v>
      </c>
    </row>
    <row r="8" customFormat="false" ht="15" hidden="false" customHeight="false" outlineLevel="0" collapsed="false">
      <c r="A8" s="21" t="n">
        <v>46268</v>
      </c>
      <c r="B8" s="22" t="s">
        <v>63</v>
      </c>
      <c r="C8" s="22" t="n">
        <v>7</v>
      </c>
      <c r="D8" s="7" t="n">
        <v>2</v>
      </c>
      <c r="E8" s="8" t="n">
        <v>300</v>
      </c>
      <c r="F8" s="6" t="n">
        <v>2</v>
      </c>
      <c r="G8" s="8" t="n">
        <v>18</v>
      </c>
      <c r="H8" s="8" t="n">
        <v>0</v>
      </c>
      <c r="I8" s="9" t="n">
        <f aca="false">E8+F8*G8+H8</f>
        <v>336</v>
      </c>
    </row>
    <row r="9" customFormat="false" ht="15" hidden="false" customHeight="false" outlineLevel="0" collapsed="false">
      <c r="A9" s="21" t="n">
        <v>46269</v>
      </c>
      <c r="B9" s="22" t="s">
        <v>64</v>
      </c>
      <c r="C9" s="22" t="n">
        <v>7</v>
      </c>
      <c r="D9" s="7" t="n">
        <v>2</v>
      </c>
      <c r="E9" s="8" t="n">
        <v>300</v>
      </c>
      <c r="F9" s="6" t="n">
        <v>2</v>
      </c>
      <c r="G9" s="8" t="n">
        <v>18</v>
      </c>
      <c r="H9" s="8" t="n">
        <v>0</v>
      </c>
      <c r="I9" s="9" t="n">
        <f aca="false">E9+F9*G9+H9</f>
        <v>336</v>
      </c>
    </row>
    <row r="10" customFormat="false" ht="15" hidden="false" customHeight="false" outlineLevel="0" collapsed="false">
      <c r="A10" s="21" t="n">
        <v>46272</v>
      </c>
      <c r="B10" s="22" t="s">
        <v>60</v>
      </c>
      <c r="C10" s="22" t="n">
        <v>8</v>
      </c>
      <c r="D10" s="7" t="n">
        <v>1</v>
      </c>
      <c r="E10" s="8" t="n">
        <v>200</v>
      </c>
      <c r="F10" s="6" t="n">
        <v>0</v>
      </c>
      <c r="G10" s="8" t="n">
        <v>18</v>
      </c>
      <c r="H10" s="8" t="n">
        <v>0</v>
      </c>
      <c r="I10" s="9" t="n">
        <f aca="false">E10+F10*G10+H10</f>
        <v>200</v>
      </c>
    </row>
    <row r="11" customFormat="false" ht="15" hidden="false" customHeight="false" outlineLevel="0" collapsed="false">
      <c r="A11" s="21" t="n">
        <v>46273</v>
      </c>
      <c r="B11" s="22" t="s">
        <v>61</v>
      </c>
      <c r="C11" s="22" t="n">
        <v>8</v>
      </c>
      <c r="D11" s="7" t="n">
        <v>4</v>
      </c>
      <c r="E11" s="8" t="n">
        <v>560</v>
      </c>
      <c r="F11" s="6" t="n">
        <v>4</v>
      </c>
      <c r="G11" s="8" t="n">
        <v>18</v>
      </c>
      <c r="H11" s="8" t="n">
        <v>12</v>
      </c>
      <c r="I11" s="9" t="n">
        <f aca="false">E11+F11*G11+H11</f>
        <v>644</v>
      </c>
    </row>
    <row r="12" customFormat="false" ht="15" hidden="false" customHeight="false" outlineLevel="0" collapsed="false">
      <c r="A12" s="21" t="n">
        <v>46274</v>
      </c>
      <c r="B12" s="22" t="s">
        <v>62</v>
      </c>
      <c r="C12" s="22" t="n">
        <v>8</v>
      </c>
      <c r="D12" s="7" t="n">
        <v>4</v>
      </c>
      <c r="E12" s="8" t="n">
        <v>560</v>
      </c>
      <c r="F12" s="6" t="n">
        <v>4</v>
      </c>
      <c r="G12" s="8" t="n">
        <v>18</v>
      </c>
      <c r="H12" s="8" t="n">
        <v>12</v>
      </c>
      <c r="I12" s="9" t="n">
        <f aca="false">E12+F12*G12+H12</f>
        <v>644</v>
      </c>
    </row>
    <row r="13" customFormat="false" ht="15" hidden="false" customHeight="false" outlineLevel="0" collapsed="false">
      <c r="A13" s="21" t="n">
        <v>46275</v>
      </c>
      <c r="B13" s="22" t="s">
        <v>63</v>
      </c>
      <c r="C13" s="22" t="n">
        <v>8</v>
      </c>
      <c r="D13" s="7" t="n">
        <v>4</v>
      </c>
      <c r="E13" s="8" t="n">
        <v>560</v>
      </c>
      <c r="F13" s="6" t="n">
        <v>4</v>
      </c>
      <c r="G13" s="8" t="n">
        <v>18</v>
      </c>
      <c r="H13" s="8" t="n">
        <v>22</v>
      </c>
      <c r="I13" s="9" t="n">
        <f aca="false">E13+F13*G13+H13</f>
        <v>654</v>
      </c>
    </row>
    <row r="14" customFormat="false" ht="15" hidden="false" customHeight="false" outlineLevel="0" collapsed="false">
      <c r="A14" s="21" t="n">
        <v>46276</v>
      </c>
      <c r="B14" s="22" t="s">
        <v>64</v>
      </c>
      <c r="C14" s="22" t="n">
        <v>8</v>
      </c>
      <c r="D14" s="7" t="n">
        <v>4</v>
      </c>
      <c r="E14" s="8" t="n">
        <v>560</v>
      </c>
      <c r="F14" s="6" t="n">
        <v>4</v>
      </c>
      <c r="G14" s="8" t="n">
        <v>18</v>
      </c>
      <c r="H14" s="8" t="n">
        <v>22</v>
      </c>
      <c r="I14" s="9" t="n">
        <f aca="false">E14+F14*G14+H14</f>
        <v>654</v>
      </c>
    </row>
    <row r="15" customFormat="false" ht="15" hidden="false" customHeight="false" outlineLevel="0" collapsed="false">
      <c r="A15" s="10" t="s">
        <v>91</v>
      </c>
      <c r="B15" s="10"/>
      <c r="C15" s="10"/>
      <c r="D15" s="23" t="n">
        <f aca="false">SUM(D6:D14)</f>
        <v>25</v>
      </c>
      <c r="E15" s="13" t="n">
        <f aca="false">SUM(E6:E14)</f>
        <v>3740</v>
      </c>
      <c r="F15" s="24" t="n">
        <f aca="false">SUM(F6:F14)</f>
        <v>24</v>
      </c>
      <c r="G15" s="13" t="n">
        <f aca="false">I15-E15-H15</f>
        <v>432</v>
      </c>
      <c r="H15" s="13" t="n">
        <f aca="false">SUM(H6:H14)</f>
        <v>68</v>
      </c>
      <c r="I15" s="13" t="n">
        <f aca="false">SUM(I6:I14)</f>
        <v>4240</v>
      </c>
    </row>
    <row r="16" customFormat="false" ht="15" hidden="false" customHeight="false" outlineLevel="0" collapsed="false">
      <c r="A16" s="25" t="s">
        <v>67</v>
      </c>
      <c r="B16" s="25"/>
      <c r="C16" s="25"/>
      <c r="D16" s="25"/>
      <c r="E16" s="25"/>
      <c r="F16" s="25"/>
      <c r="G16" s="25"/>
      <c r="H16" s="25"/>
      <c r="I16" s="25"/>
    </row>
    <row r="18" customFormat="false" ht="15" hidden="false" customHeight="false" outlineLevel="0" collapsed="false">
      <c r="A18" s="3" t="s">
        <v>68</v>
      </c>
      <c r="B18" s="3"/>
      <c r="C18" s="3"/>
      <c r="D18" s="3"/>
      <c r="E18" s="3"/>
      <c r="F18" s="3"/>
      <c r="G18" s="3"/>
      <c r="H18" s="3"/>
    </row>
    <row r="19" customFormat="false" ht="27.75" hidden="false" customHeight="true" outlineLevel="0" collapsed="false">
      <c r="A19" s="4" t="s">
        <v>19</v>
      </c>
      <c r="B19" s="4" t="s">
        <v>20</v>
      </c>
      <c r="C19" s="4" t="s">
        <v>21</v>
      </c>
      <c r="D19" s="4" t="s">
        <v>69</v>
      </c>
      <c r="E19" s="4"/>
      <c r="F19" s="4"/>
      <c r="G19" s="4"/>
      <c r="H19" s="4" t="s">
        <v>10</v>
      </c>
    </row>
    <row r="20" customFormat="false" ht="15" hidden="false" customHeight="false" outlineLevel="0" collapsed="false">
      <c r="A20" s="5" t="s">
        <v>25</v>
      </c>
      <c r="B20" s="5" t="s">
        <v>26</v>
      </c>
      <c r="C20" s="8" t="n">
        <v>200</v>
      </c>
      <c r="D20" s="7" t="n">
        <v>9</v>
      </c>
      <c r="E20" s="7"/>
      <c r="F20" s="7"/>
      <c r="G20" s="7"/>
      <c r="H20" s="9" t="n">
        <f aca="false">C20*D20</f>
        <v>1800</v>
      </c>
    </row>
    <row r="21" customFormat="false" ht="15" hidden="false" customHeight="false" outlineLevel="0" collapsed="false">
      <c r="A21" s="5" t="s">
        <v>27</v>
      </c>
      <c r="B21" s="5" t="s">
        <v>28</v>
      </c>
      <c r="C21" s="8" t="n">
        <v>200</v>
      </c>
      <c r="D21" s="7" t="n">
        <v>1</v>
      </c>
      <c r="E21" s="7"/>
      <c r="F21" s="7"/>
      <c r="G21" s="7"/>
      <c r="H21" s="9" t="n">
        <f aca="false">C21*D21</f>
        <v>200</v>
      </c>
    </row>
    <row r="22" customFormat="false" ht="15" hidden="false" customHeight="false" outlineLevel="0" collapsed="false">
      <c r="A22" s="5" t="s">
        <v>31</v>
      </c>
      <c r="B22" s="5" t="s">
        <v>30</v>
      </c>
      <c r="C22" s="8" t="n">
        <v>100</v>
      </c>
      <c r="D22" s="7" t="n">
        <v>3</v>
      </c>
      <c r="E22" s="7"/>
      <c r="F22" s="7"/>
      <c r="G22" s="7"/>
      <c r="H22" s="9" t="n">
        <f aca="false">C22*D22</f>
        <v>300</v>
      </c>
    </row>
    <row r="23" customFormat="false" ht="15" hidden="false" customHeight="false" outlineLevel="0" collapsed="false">
      <c r="A23" s="5" t="s">
        <v>39</v>
      </c>
      <c r="B23" s="5" t="s">
        <v>26</v>
      </c>
      <c r="C23" s="8" t="n">
        <v>160</v>
      </c>
      <c r="D23" s="7" t="n">
        <v>4</v>
      </c>
      <c r="E23" s="7"/>
      <c r="F23" s="7"/>
      <c r="G23" s="7"/>
      <c r="H23" s="9" t="n">
        <f aca="false">C23*D23</f>
        <v>640</v>
      </c>
    </row>
    <row r="24" customFormat="false" ht="15" hidden="false" customHeight="false" outlineLevel="0" collapsed="false">
      <c r="A24" s="5" t="s">
        <v>40</v>
      </c>
      <c r="B24" s="5" t="s">
        <v>34</v>
      </c>
      <c r="C24" s="8" t="n">
        <v>100</v>
      </c>
      <c r="D24" s="7" t="n">
        <v>4</v>
      </c>
      <c r="E24" s="7"/>
      <c r="F24" s="7"/>
      <c r="G24" s="7"/>
      <c r="H24" s="9" t="n">
        <f aca="false">C24*D24</f>
        <v>400</v>
      </c>
    </row>
    <row r="25" customFormat="false" ht="15" hidden="false" customHeight="false" outlineLevel="0" collapsed="false">
      <c r="A25" s="5" t="s">
        <v>41</v>
      </c>
      <c r="B25" s="5" t="s">
        <v>34</v>
      </c>
      <c r="C25" s="8" t="n">
        <v>100</v>
      </c>
      <c r="D25" s="7" t="n">
        <v>4</v>
      </c>
      <c r="E25" s="7"/>
      <c r="F25" s="7"/>
      <c r="G25" s="7"/>
      <c r="H25" s="9" t="n">
        <f aca="false">C25*D25</f>
        <v>400</v>
      </c>
    </row>
    <row r="26" customFormat="false" ht="15" hidden="false" customHeight="false" outlineLevel="0" collapsed="false">
      <c r="A26" s="14" t="s">
        <v>70</v>
      </c>
      <c r="B26" s="14"/>
      <c r="C26" s="14"/>
      <c r="D26" s="15" t="n">
        <f aca="false">SUM(D20:D25)</f>
        <v>25</v>
      </c>
      <c r="E26" s="15"/>
      <c r="F26" s="15"/>
      <c r="G26" s="15"/>
      <c r="H26" s="16" t="n">
        <f aca="false">SUM(H20:H25)</f>
        <v>3740</v>
      </c>
    </row>
    <row r="28" customFormat="false" ht="15" hidden="false" customHeight="false" outlineLevel="0" collapsed="false">
      <c r="A28" s="3" t="s">
        <v>71</v>
      </c>
      <c r="B28" s="3"/>
      <c r="C28" s="3"/>
      <c r="D28" s="3"/>
      <c r="E28" s="3"/>
      <c r="F28" s="3"/>
      <c r="G28" s="3"/>
      <c r="H28" s="3"/>
    </row>
    <row r="29" customFormat="false" ht="27.75" hidden="false" customHeight="true" outlineLevel="0" collapsed="false">
      <c r="A29" s="4" t="s">
        <v>44</v>
      </c>
      <c r="B29" s="4" t="s">
        <v>5</v>
      </c>
      <c r="C29" s="4"/>
      <c r="D29" s="4"/>
      <c r="E29" s="4"/>
      <c r="F29" s="4" t="s">
        <v>72</v>
      </c>
      <c r="G29" s="4"/>
      <c r="H29" s="4" t="s">
        <v>46</v>
      </c>
    </row>
    <row r="30" customFormat="false" ht="15" hidden="false" customHeight="false" outlineLevel="0" collapsed="false">
      <c r="A30" s="9" t="n">
        <v>18</v>
      </c>
      <c r="B30" s="26" t="s">
        <v>92</v>
      </c>
      <c r="C30" s="26"/>
      <c r="D30" s="26"/>
      <c r="E30" s="26"/>
      <c r="F30" s="6" t="n">
        <v>24</v>
      </c>
      <c r="G30" s="6"/>
      <c r="H30" s="9" t="n">
        <f aca="false">A30*F30</f>
        <v>432</v>
      </c>
    </row>
    <row r="31" customFormat="false" ht="15" hidden="false" customHeight="false" outlineLevel="0" collapsed="false">
      <c r="A31" s="17" t="s">
        <v>47</v>
      </c>
      <c r="B31" s="26" t="s">
        <v>93</v>
      </c>
      <c r="C31" s="26"/>
      <c r="D31" s="26"/>
      <c r="E31" s="26"/>
      <c r="F31" s="6" t="n">
        <v>8</v>
      </c>
      <c r="G31" s="6"/>
      <c r="H31" s="9" t="n">
        <v>48</v>
      </c>
    </row>
    <row r="32" customFormat="false" ht="15" hidden="false" customHeight="false" outlineLevel="0" collapsed="false">
      <c r="A32" s="17" t="s">
        <v>48</v>
      </c>
      <c r="B32" s="26" t="s">
        <v>94</v>
      </c>
      <c r="C32" s="26"/>
      <c r="D32" s="26"/>
      <c r="E32" s="26"/>
      <c r="F32" s="6" t="n">
        <v>2</v>
      </c>
      <c r="G32" s="6"/>
      <c r="H32" s="9" t="n">
        <v>20</v>
      </c>
    </row>
    <row r="33" customFormat="false" ht="15" hidden="false" customHeight="false" outlineLevel="0" collapsed="false">
      <c r="A33" s="14" t="s">
        <v>95</v>
      </c>
      <c r="B33" s="14"/>
      <c r="C33" s="14"/>
      <c r="D33" s="14"/>
      <c r="E33" s="14"/>
      <c r="F33" s="18" t="n">
        <f aca="false">SUM(F30:F30)</f>
        <v>24</v>
      </c>
      <c r="G33" s="18"/>
      <c r="H33" s="16" t="n">
        <f aca="false">SUM(H30:H32)</f>
        <v>500</v>
      </c>
    </row>
    <row r="35" customFormat="false" ht="15" hidden="false" customHeight="false" outlineLevel="0" collapsed="false">
      <c r="A35" s="3" t="s">
        <v>76</v>
      </c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5" t="s">
        <v>77</v>
      </c>
      <c r="B36" s="5"/>
      <c r="C36" s="5"/>
      <c r="D36" s="5"/>
      <c r="E36" s="5"/>
      <c r="F36" s="5"/>
      <c r="G36" s="5"/>
      <c r="H36" s="27" t="n">
        <v>9</v>
      </c>
    </row>
    <row r="37" customFormat="false" ht="15" hidden="false" customHeight="false" outlineLevel="0" collapsed="false">
      <c r="A37" s="5" t="s">
        <v>78</v>
      </c>
      <c r="B37" s="5"/>
      <c r="C37" s="5"/>
      <c r="D37" s="5"/>
      <c r="E37" s="5"/>
      <c r="F37" s="5"/>
      <c r="G37" s="5"/>
      <c r="H37" s="28" t="n">
        <v>25</v>
      </c>
    </row>
    <row r="38" customFormat="false" ht="15" hidden="false" customHeight="false" outlineLevel="0" collapsed="false">
      <c r="A38" s="5" t="s">
        <v>79</v>
      </c>
      <c r="B38" s="5"/>
      <c r="C38" s="5"/>
      <c r="D38" s="5"/>
      <c r="E38" s="5"/>
      <c r="F38" s="5"/>
      <c r="G38" s="5"/>
      <c r="H38" s="8" t="n">
        <v>3740</v>
      </c>
    </row>
    <row r="39" customFormat="false" ht="15" hidden="false" customHeight="false" outlineLevel="0" collapsed="false">
      <c r="A39" s="5" t="s">
        <v>80</v>
      </c>
      <c r="B39" s="5"/>
      <c r="C39" s="5"/>
      <c r="D39" s="5"/>
      <c r="E39" s="5"/>
      <c r="F39" s="5"/>
      <c r="G39" s="5"/>
      <c r="H39" s="8" t="n">
        <v>500</v>
      </c>
    </row>
    <row r="40" customFormat="false" ht="15" hidden="false" customHeight="false" outlineLevel="0" collapsed="false">
      <c r="A40" s="29" t="s">
        <v>96</v>
      </c>
      <c r="B40" s="29"/>
      <c r="C40" s="29"/>
      <c r="D40" s="29"/>
      <c r="E40" s="29"/>
      <c r="F40" s="29"/>
      <c r="G40" s="29"/>
      <c r="H40" s="30" t="n">
        <f aca="false">H38+H39</f>
        <v>4240</v>
      </c>
    </row>
  </sheetData>
  <mergeCells count="32">
    <mergeCell ref="A1:I1"/>
    <mergeCell ref="A2:I2"/>
    <mergeCell ref="A4:I4"/>
    <mergeCell ref="A15:C15"/>
    <mergeCell ref="A16:I16"/>
    <mergeCell ref="A18:H18"/>
    <mergeCell ref="D19:G19"/>
    <mergeCell ref="D20:G20"/>
    <mergeCell ref="D21:G21"/>
    <mergeCell ref="D22:G22"/>
    <mergeCell ref="D23:G23"/>
    <mergeCell ref="D24:G24"/>
    <mergeCell ref="D25:G25"/>
    <mergeCell ref="A26:C26"/>
    <mergeCell ref="D26:G26"/>
    <mergeCell ref="A28:H28"/>
    <mergeCell ref="B29:E29"/>
    <mergeCell ref="F29:G29"/>
    <mergeCell ref="B30:E30"/>
    <mergeCell ref="F30:G30"/>
    <mergeCell ref="B31:E31"/>
    <mergeCell ref="F31:G31"/>
    <mergeCell ref="B32:E32"/>
    <mergeCell ref="F32:G32"/>
    <mergeCell ref="A33:E33"/>
    <mergeCell ref="F33:G33"/>
    <mergeCell ref="A35:H35"/>
    <mergeCell ref="A36:G36"/>
    <mergeCell ref="A37:G37"/>
    <mergeCell ref="A38:G38"/>
    <mergeCell ref="A39:G39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2026-09-12T15:10:12Z</dcterms:created>
  <dc:creator>openpyxl</dc:creator>
  <dc:description/>
  <dc:language>en-US</dc:language>
  <cp:lastModifiedBy/>
  <dcterms:modified xsi:type="dcterms:W3CDTF">2026-09-12T15:10:12Z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