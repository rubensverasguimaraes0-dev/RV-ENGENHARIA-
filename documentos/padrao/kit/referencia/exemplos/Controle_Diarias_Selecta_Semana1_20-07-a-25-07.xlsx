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Segunda 20-07" sheetId="2" state="visible" r:id="rId2"/>
    <sheet xmlns:r="http://schemas.openxmlformats.org/officeDocument/2006/relationships" name="Terça 21-07" sheetId="3" state="visible" r:id="rId3"/>
    <sheet xmlns:r="http://schemas.openxmlformats.org/officeDocument/2006/relationships" name="Quarta 22-07" sheetId="4" state="visible" r:id="rId4"/>
    <sheet xmlns:r="http://schemas.openxmlformats.org/officeDocument/2006/relationships" name="Quinta 23-07" sheetId="5" state="visible" r:id="rId5"/>
    <sheet xmlns:r="http://schemas.openxmlformats.org/officeDocument/2006/relationships" name="Sexta 24-07" sheetId="6" state="visible" r:id="rId6"/>
    <sheet xmlns:r="http://schemas.openxmlformats.org/officeDocument/2006/relationships" name="Sábado 25-07" sheetId="7" state="visible" r:id="rId7"/>
    <sheet xmlns:r="http://schemas.openxmlformats.org/officeDocument/2006/relationships" name="Resumo Sema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;-R$ #,##0.00;&quot;-&quot;"/>
    <numFmt numFmtId="167" formatCode="0.0;-0.0;&quot;-&quot;"/>
    <numFmt numFmtId="168" formatCode="0;-0;&quot;-&quot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color rgb="00008000"/>
      <sz val="10"/>
    </font>
    <font>
      <name val="Arial"/>
      <b val="1"/>
      <sz val="11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sz val="12"/>
    </font>
    <font>
      <name val="Arial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6" fontId="4" fillId="2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6" fontId="9" fillId="0" borderId="1" pivotButton="0" quotePrefix="0" xfId="0"/>
    <xf numFmtId="167" fontId="4" fillId="2" borderId="1" applyAlignment="1" pivotButton="0" quotePrefix="0" xfId="0">
      <alignment horizontal="center"/>
    </xf>
    <xf numFmtId="166" fontId="7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horizontal="right"/>
    </xf>
    <xf numFmtId="167" fontId="3" fillId="5" borderId="1" applyAlignment="1" pivotButton="0" quotePrefix="0" xfId="0">
      <alignment horizontal="center"/>
    </xf>
    <xf numFmtId="166" fontId="3" fillId="5" borderId="1" pivotButton="0" quotePrefix="0" xfId="0"/>
    <xf numFmtId="168" fontId="4" fillId="2" borderId="1" applyAlignment="1" pivotButton="0" quotePrefix="0" xfId="0">
      <alignment horizontal="center"/>
    </xf>
    <xf numFmtId="167" fontId="7" fillId="0" borderId="1" pivotButton="0" quotePrefix="0" xfId="0"/>
    <xf numFmtId="168" fontId="7" fillId="0" borderId="1" pivotButton="0" quotePrefix="0" xfId="0"/>
    <xf numFmtId="0" fontId="10" fillId="6" borderId="2" pivotButton="0" quotePrefix="0" xfId="0"/>
    <xf numFmtId="0" fontId="0" fillId="6" borderId="2" pivotButton="0" quotePrefix="0" xfId="0"/>
    <xf numFmtId="166" fontId="10" fillId="6" borderId="2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165" fontId="7" fillId="0" borderId="1" pivotButton="0" quotePrefix="0" xfId="0"/>
    <xf numFmtId="166" fontId="3" fillId="0" borderId="1" pivotButton="0" quotePrefix="0" xfId="0"/>
    <xf numFmtId="167" fontId="3" fillId="5" borderId="1" pivotButton="0" quotePrefix="0" xfId="0"/>
    <xf numFmtId="168" fontId="3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13" fillId="6" borderId="2" pivotButton="0" quotePrefix="0" xfId="0"/>
    <xf numFmtId="166" fontId="13" fillId="6" borderId="2" pivotButton="0" quotePrefix="0" xfId="0"/>
    <xf numFmtId="0" fontId="3" fillId="6" borderId="1" pivotButton="0" quotePrefix="0" xfId="0"/>
    <xf numFmtId="0" fontId="0" fillId="6" borderId="1" pivotButton="0" quotePrefix="0" xfId="0"/>
    <xf numFmtId="167" fontId="3" fillId="6" borderId="1" pivotButton="0" quotePrefix="0" xfId="0"/>
    <xf numFmtId="166" fontId="3" fillId="6" borderId="1" pivotButton="0" quotePrefix="0" xfId="0"/>
    <xf numFmtId="168" fontId="3" fillId="6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7" customWidth="1" min="3" max="3"/>
    <col width="40" customWidth="1" min="4" max="4"/>
    <col width="14" customWidth="1" min="5" max="5"/>
  </cols>
  <sheetData>
    <row r="1">
      <c r="A1" s="1" t="inlineStr">
        <is>
          <t>RV ENGENHARIA — CONTROLE DE DIÁRIAS E CUSTOS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3" t="inlineStr">
        <is>
          <t>Semana de referência</t>
        </is>
      </c>
      <c r="C4" s="4" t="n">
        <v>46223</v>
      </c>
      <c r="D4" s="5" t="inlineStr">
        <is>
          <t>a</t>
        </is>
      </c>
      <c r="E4" s="4" t="n">
        <v>46228</v>
      </c>
    </row>
    <row r="6">
      <c r="A6" s="6" t="inlineStr">
        <is>
          <t>EQUIPE E VALORES DE DIÁRIA</t>
        </is>
      </c>
    </row>
    <row r="7" ht="28" customHeight="1">
      <c r="A7" s="7" t="inlineStr">
        <is>
          <t>Funcionário</t>
        </is>
      </c>
      <c r="B7" s="7" t="inlineStr">
        <is>
          <t>Função</t>
        </is>
      </c>
      <c r="C7" s="7" t="inlineStr">
        <is>
          <t>Diária (R$)</t>
        </is>
      </c>
      <c r="D7" s="7" t="inlineStr">
        <is>
          <t>Situação</t>
        </is>
      </c>
    </row>
    <row r="8">
      <c r="A8" s="8" t="inlineStr">
        <is>
          <t>Thiago</t>
        </is>
      </c>
      <c r="B8" s="8" t="inlineStr">
        <is>
          <t>Pedreiro</t>
        </is>
      </c>
      <c r="C8" s="9" t="n">
        <v>200</v>
      </c>
      <c r="D8" s="10" t="inlineStr">
        <is>
          <t>Ativo</t>
        </is>
      </c>
    </row>
    <row r="9">
      <c r="A9" s="8" t="inlineStr">
        <is>
          <t>Wiliton</t>
        </is>
      </c>
      <c r="B9" s="8" t="inlineStr">
        <is>
          <t>Eletricista</t>
        </is>
      </c>
      <c r="C9" s="9" t="n">
        <v>200</v>
      </c>
      <c r="D9" s="10" t="inlineStr">
        <is>
          <t>Ativo</t>
        </is>
      </c>
    </row>
    <row r="10">
      <c r="A10" s="8" t="inlineStr">
        <is>
          <t>Gervasio</t>
        </is>
      </c>
      <c r="B10" s="8" t="inlineStr">
        <is>
          <t>Ajudante</t>
        </is>
      </c>
      <c r="C10" s="9" t="n">
        <v>90</v>
      </c>
      <c r="D10" s="10" t="inlineStr">
        <is>
          <t>Desligado em 29/07</t>
        </is>
      </c>
    </row>
    <row r="11">
      <c r="A11" s="8" t="inlineStr">
        <is>
          <t>Máximo</t>
        </is>
      </c>
      <c r="B11" s="8" t="inlineStr">
        <is>
          <t>Ajudante</t>
        </is>
      </c>
      <c r="C11" s="9" t="n">
        <v>100</v>
      </c>
      <c r="D11" s="10" t="inlineStr">
        <is>
          <t>Ativo</t>
        </is>
      </c>
    </row>
    <row r="12">
      <c r="A12" s="8" t="inlineStr">
        <is>
          <t>Amigo Máximo</t>
        </is>
      </c>
      <c r="B12" s="8" t="inlineStr">
        <is>
          <t>Ajudante</t>
        </is>
      </c>
      <c r="C12" s="9" t="n">
        <v>100</v>
      </c>
      <c r="D12" s="10" t="inlineStr">
        <is>
          <t>Ativo</t>
        </is>
      </c>
    </row>
    <row r="14">
      <c r="A14" s="6" t="inlineStr">
        <is>
          <t>ALIMENTAÇÃO — HISTÓRICO DE PREÇO DA QUENTINHA</t>
        </is>
      </c>
    </row>
    <row r="15" ht="28" customHeight="1">
      <c r="A15" s="7" t="inlineStr">
        <is>
          <t>Vigência</t>
        </is>
      </c>
      <c r="B15" s="7" t="inlineStr"/>
      <c r="C15" s="7" t="inlineStr">
        <is>
          <t>Valor unitário (R$)</t>
        </is>
      </c>
      <c r="D15" s="7" t="inlineStr">
        <is>
          <t>Observação</t>
        </is>
      </c>
    </row>
    <row r="16">
      <c r="A16" s="8" t="inlineStr">
        <is>
          <t>De 20/07 a 24/07</t>
        </is>
      </c>
      <c r="B16" s="11" t="n"/>
      <c r="C16" s="9" t="n">
        <v>22</v>
      </c>
      <c r="D16" s="10" t="inlineStr">
        <is>
          <t>Valor corrente</t>
        </is>
      </c>
    </row>
    <row r="18">
      <c r="A18" s="6" t="inlineStr">
        <is>
          <t>COMO USAR</t>
        </is>
      </c>
    </row>
    <row r="19">
      <c r="A19" s="12" t="inlineStr">
        <is>
          <t>Células amarelas com texto azul são de preenchimento. As demais são fórmulas — não digite por cima.</t>
        </is>
      </c>
    </row>
    <row r="20">
      <c r="A20" s="12" t="inlineStr">
        <is>
          <t>Nas abas de dia, coluna 'Presença': 1 = diária inteira · 0,5 = meia diária · vazio = não trabalhou.</t>
        </is>
      </c>
    </row>
    <row r="21">
      <c r="A21" s="12" t="inlineStr">
        <is>
          <t>O valor da quentinha é lançado DENTRO de cada aba de dia — cada data guarda o preço que valeu naquele dia.</t>
        </is>
      </c>
    </row>
    <row r="22">
      <c r="A22" s="12" t="inlineStr">
        <is>
          <t>A quantidade de quentinhas é livre: pode ser maior que o número de presentes, quando houver unidade adicional.</t>
        </is>
      </c>
    </row>
    <row r="23">
      <c r="A23" s="12" t="inlineStr">
        <is>
          <t>Outros consumos do dia (gelo, entrega de quentinha) entram como linhas próprias na seção 2 de cada aba de dia.</t>
        </is>
      </c>
    </row>
    <row r="24">
      <c r="A24" s="12" t="inlineStr">
        <is>
          <t>A aba 'Resumo Semanal' consolida os dias, o gasto por funcionário, as quentinhas por valor unitário e o acumulado da obra.</t>
        </is>
      </c>
    </row>
    <row r="25">
      <c r="A25" s="12" t="inlineStr">
        <is>
          <t>Aparecem aqui apenas os funcionários que tiveram presença nesta semana.</t>
        </is>
      </c>
    </row>
  </sheetData>
  <mergeCells count="4">
    <mergeCell ref="A18:D18"/>
    <mergeCell ref="A16:B16"/>
    <mergeCell ref="A14:D14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SEGUNDA-FEIRA — 20/07/2026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/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/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2</v>
      </c>
      <c r="E15" s="15">
        <f>C15*D15</f>
        <v/>
      </c>
    </row>
    <row r="17">
      <c r="A17" s="6" t="inlineStr">
        <is>
          <t>3. RESUMO DO DIA — SEGUNDA-FEIRA 20/07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</sheetData>
  <mergeCells count="12">
    <mergeCell ref="A18:D18"/>
    <mergeCell ref="A4:E4"/>
    <mergeCell ref="A15:B1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TERÇA-FEIRA — 21/07/2026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/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/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2</v>
      </c>
      <c r="E15" s="15">
        <f>C15*D15</f>
        <v/>
      </c>
    </row>
    <row r="17">
      <c r="A17" s="6" t="inlineStr">
        <is>
          <t>3. RESUMO DO DIA — TERÇA-FEIRA 21/07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</sheetData>
  <mergeCells count="12">
    <mergeCell ref="A18:D18"/>
    <mergeCell ref="A4:E4"/>
    <mergeCell ref="A15:B1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QUARTA-FEIRA — 22/07/2026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/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/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2</v>
      </c>
      <c r="E15" s="15">
        <f>C15*D15</f>
        <v/>
      </c>
    </row>
    <row r="17">
      <c r="A17" s="6" t="inlineStr">
        <is>
          <t>3. RESUMO DO DIA — QUARTA-FEIRA 22/07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</sheetData>
  <mergeCells count="12">
    <mergeCell ref="A18:D18"/>
    <mergeCell ref="A4:E4"/>
    <mergeCell ref="A15:B1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QUINTA-FEIRA — 23/07/2026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/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/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3</v>
      </c>
      <c r="E15" s="15">
        <f>C15*D15</f>
        <v/>
      </c>
    </row>
    <row r="17">
      <c r="A17" s="6" t="inlineStr">
        <is>
          <t>3. RESUMO DO DIA — QUINTA-FEIRA 23/07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  <row r="24">
      <c r="A24" s="27" t="inlineStr">
        <is>
          <t>Observação: Entrada de Wiliton (eletricista, R$ 200,00)</t>
        </is>
      </c>
    </row>
    <row r="25"/>
  </sheetData>
  <mergeCells count="13">
    <mergeCell ref="A18:D18"/>
    <mergeCell ref="A4:E4"/>
    <mergeCell ref="A15:B15"/>
    <mergeCell ref="A24:E2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SEXTA-FEIRA — 24/07/2026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/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/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3</v>
      </c>
      <c r="E15" s="15">
        <f>C15*D15</f>
        <v/>
      </c>
    </row>
    <row r="17">
      <c r="A17" s="6" t="inlineStr">
        <is>
          <t>3. RESUMO DO DIA — SEXTA-FEIRA 24/07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</sheetData>
  <mergeCells count="12">
    <mergeCell ref="A18:D18"/>
    <mergeCell ref="A4:E4"/>
    <mergeCell ref="A15:B1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SÁBADO — 25/07/2026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Gervasio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Máximo</t>
        </is>
      </c>
      <c r="B9" s="8" t="inlineStr">
        <is>
          <t>Ajudante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8" t="inlineStr">
        <is>
          <t>Amigo Máximo</t>
        </is>
      </c>
      <c r="B10" s="8" t="inlineStr">
        <is>
          <t>Ajudante</t>
        </is>
      </c>
      <c r="C10" s="13">
        <f>'Parâmetros'!$C$12</f>
        <v/>
      </c>
      <c r="D10" s="14" t="n">
        <v>1</v>
      </c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22</v>
      </c>
      <c r="D15" s="21" t="n">
        <v>0</v>
      </c>
      <c r="E15" s="15">
        <f>C15*D15</f>
        <v/>
      </c>
    </row>
    <row r="17">
      <c r="A17" s="6" t="inlineStr">
        <is>
          <t>3. RESUMO DO DIA — SÁBADO 25/07</t>
        </is>
      </c>
    </row>
    <row r="18">
      <c r="A18" s="8" t="inlineStr">
        <is>
          <t>Total de diárias trabalhadas</t>
        </is>
      </c>
      <c r="B18" s="11" t="n"/>
      <c r="C18" s="11" t="n"/>
      <c r="D18" s="11" t="n"/>
      <c r="E18" s="22">
        <f>D11</f>
        <v/>
      </c>
    </row>
    <row r="19">
      <c r="A19" s="8" t="inlineStr">
        <is>
          <t>Quentinhas fornecidas (un.)</t>
        </is>
      </c>
      <c r="B19" s="11" t="n"/>
      <c r="C19" s="11" t="n"/>
      <c r="D19" s="11" t="n"/>
      <c r="E19" s="23">
        <f>D15</f>
        <v/>
      </c>
    </row>
    <row r="20">
      <c r="A20" s="8" t="inlineStr">
        <is>
          <t>Custo de mão de obra</t>
        </is>
      </c>
      <c r="B20" s="11" t="n"/>
      <c r="C20" s="11" t="n"/>
      <c r="D20" s="11" t="n"/>
      <c r="E20" s="15">
        <f>E11</f>
        <v/>
      </c>
    </row>
    <row r="21">
      <c r="A21" s="8" t="inlineStr">
        <is>
          <t>Custo de alimentação</t>
        </is>
      </c>
      <c r="B21" s="11" t="n"/>
      <c r="C21" s="11" t="n"/>
      <c r="D21" s="11" t="n"/>
      <c r="E21" s="15">
        <f>E15</f>
        <v/>
      </c>
    </row>
    <row r="22">
      <c r="A22" s="24" t="inlineStr">
        <is>
          <t>TOTAL DO DIA</t>
        </is>
      </c>
      <c r="B22" s="25" t="n"/>
      <c r="C22" s="25" t="n"/>
      <c r="D22" s="25" t="n"/>
      <c r="E22" s="26">
        <f>E20+E21</f>
        <v/>
      </c>
    </row>
    <row r="24">
      <c r="A24" s="27" t="inlineStr">
        <is>
          <t>Observação: Sábado até meio-dia: diária integral e sem quentinha. Entrada de Máximo e Amigo Máximo (ajudantes, R$ 100,00)</t>
        </is>
      </c>
    </row>
    <row r="25"/>
  </sheetData>
  <mergeCells count="13">
    <mergeCell ref="A18:D18"/>
    <mergeCell ref="A4:E4"/>
    <mergeCell ref="A15:B15"/>
    <mergeCell ref="A24:E25"/>
    <mergeCell ref="A2:E2"/>
    <mergeCell ref="A22:D22"/>
    <mergeCell ref="A11:B11"/>
    <mergeCell ref="A20:D20"/>
    <mergeCell ref="A21:D21"/>
    <mergeCell ref="A1:E1"/>
    <mergeCell ref="A13:E13"/>
    <mergeCell ref="A19:D19"/>
    <mergeCell ref="A17:E17"/>
  </mergeCells>
  <pageMargins left="0.75" right="0.75" top="1" bottom="1" header="0.5" footer="0.5"/>
  <pageSetup orientation="portrait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>
      <c r="A1" s="28" t="inlineStr">
        <is>
          <t>RESUMO GERAL DA SEMANA — 20/07 A 25/07/2026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FECHAMENTO POR DIA</t>
        </is>
      </c>
    </row>
    <row r="5" ht="28" customHeight="1">
      <c r="A5" s="7" t="inlineStr">
        <is>
          <t>Dia</t>
        </is>
      </c>
      <c r="B5" s="7" t="inlineStr">
        <is>
          <t>Data</t>
        </is>
      </c>
      <c r="C5" s="7" t="inlineStr">
        <is>
          <t>Diárias</t>
        </is>
      </c>
      <c r="D5" s="7" t="inlineStr">
        <is>
          <t>Mão de Obra (R$)</t>
        </is>
      </c>
      <c r="E5" s="7" t="inlineStr">
        <is>
          <t>Quentinhas (un.)</t>
        </is>
      </c>
      <c r="F5" s="7" t="inlineStr">
        <is>
          <t>Alim. e outros (R$)</t>
        </is>
      </c>
      <c r="G5" s="7" t="inlineStr">
        <is>
          <t>Total do Dia (R$)</t>
        </is>
      </c>
    </row>
    <row r="6">
      <c r="A6" s="8" t="inlineStr">
        <is>
          <t>Segunda</t>
        </is>
      </c>
      <c r="B6" s="29" t="n">
        <v>46223</v>
      </c>
      <c r="C6" s="22">
        <f>'Segunda 20-07'!$E$18</f>
        <v/>
      </c>
      <c r="D6" s="15">
        <f>'Segunda 20-07'!$E$20</f>
        <v/>
      </c>
      <c r="E6" s="23">
        <f>'Segunda 20-07'!$E$19</f>
        <v/>
      </c>
      <c r="F6" s="15">
        <f>'Segunda 20-07'!$E$21</f>
        <v/>
      </c>
      <c r="G6" s="30">
        <f>'Segunda 20-07'!$E$22</f>
        <v/>
      </c>
    </row>
    <row r="7">
      <c r="A7" s="8" t="inlineStr">
        <is>
          <t>Terça</t>
        </is>
      </c>
      <c r="B7" s="29" t="n">
        <v>46224</v>
      </c>
      <c r="C7" s="22">
        <f>'Terça 21-07'!$E$18</f>
        <v/>
      </c>
      <c r="D7" s="15">
        <f>'Terça 21-07'!$E$20</f>
        <v/>
      </c>
      <c r="E7" s="23">
        <f>'Terça 21-07'!$E$19</f>
        <v/>
      </c>
      <c r="F7" s="15">
        <f>'Terça 21-07'!$E$21</f>
        <v/>
      </c>
      <c r="G7" s="30">
        <f>'Terça 21-07'!$E$22</f>
        <v/>
      </c>
    </row>
    <row r="8">
      <c r="A8" s="8" t="inlineStr">
        <is>
          <t>Quarta</t>
        </is>
      </c>
      <c r="B8" s="29" t="n">
        <v>46225</v>
      </c>
      <c r="C8" s="22">
        <f>'Quarta 22-07'!$E$18</f>
        <v/>
      </c>
      <c r="D8" s="15">
        <f>'Quarta 22-07'!$E$20</f>
        <v/>
      </c>
      <c r="E8" s="23">
        <f>'Quarta 22-07'!$E$19</f>
        <v/>
      </c>
      <c r="F8" s="15">
        <f>'Quarta 22-07'!$E$21</f>
        <v/>
      </c>
      <c r="G8" s="30">
        <f>'Quarta 22-07'!$E$22</f>
        <v/>
      </c>
    </row>
    <row r="9">
      <c r="A9" s="8" t="inlineStr">
        <is>
          <t>Quinta</t>
        </is>
      </c>
      <c r="B9" s="29" t="n">
        <v>46226</v>
      </c>
      <c r="C9" s="22">
        <f>'Quinta 23-07'!$E$18</f>
        <v/>
      </c>
      <c r="D9" s="15">
        <f>'Quinta 23-07'!$E$20</f>
        <v/>
      </c>
      <c r="E9" s="23">
        <f>'Quinta 23-07'!$E$19</f>
        <v/>
      </c>
      <c r="F9" s="15">
        <f>'Quinta 23-07'!$E$21</f>
        <v/>
      </c>
      <c r="G9" s="30">
        <f>'Quinta 23-07'!$E$22</f>
        <v/>
      </c>
    </row>
    <row r="10">
      <c r="A10" s="8" t="inlineStr">
        <is>
          <t>Sexta</t>
        </is>
      </c>
      <c r="B10" s="29" t="n">
        <v>46227</v>
      </c>
      <c r="C10" s="22">
        <f>'Sexta 24-07'!$E$18</f>
        <v/>
      </c>
      <c r="D10" s="15">
        <f>'Sexta 24-07'!$E$20</f>
        <v/>
      </c>
      <c r="E10" s="23">
        <f>'Sexta 24-07'!$E$19</f>
        <v/>
      </c>
      <c r="F10" s="15">
        <f>'Sexta 24-07'!$E$21</f>
        <v/>
      </c>
      <c r="G10" s="30">
        <f>'Sexta 24-07'!$E$22</f>
        <v/>
      </c>
    </row>
    <row r="11">
      <c r="A11" s="8" t="inlineStr">
        <is>
          <t>Sábado</t>
        </is>
      </c>
      <c r="B11" s="29" t="n">
        <v>46228</v>
      </c>
      <c r="C11" s="22">
        <f>'Sábado 25-07'!$E$18</f>
        <v/>
      </c>
      <c r="D11" s="15">
        <f>'Sábado 25-07'!$E$20</f>
        <v/>
      </c>
      <c r="E11" s="23">
        <f>'Sábado 25-07'!$E$19</f>
        <v/>
      </c>
      <c r="F11" s="15">
        <f>'Sábado 25-07'!$E$21</f>
        <v/>
      </c>
      <c r="G11" s="30">
        <f>'Sábado 25-07'!$E$22</f>
        <v/>
      </c>
    </row>
    <row r="12">
      <c r="A12" s="16" t="inlineStr">
        <is>
          <t>TOTAL DA SEMANA</t>
        </is>
      </c>
      <c r="B12" s="17" t="n"/>
      <c r="C12" s="31">
        <f>SUM(C6:C11)</f>
        <v/>
      </c>
      <c r="D12" s="20">
        <f>SUM(D6:D11)</f>
        <v/>
      </c>
      <c r="E12" s="32">
        <f>SUM(E6:E11)</f>
        <v/>
      </c>
      <c r="F12" s="20">
        <f>SUM(F6:F11)</f>
        <v/>
      </c>
      <c r="G12" s="20">
        <f>SUM(G6:G11)</f>
        <v/>
      </c>
    </row>
    <row r="14">
      <c r="A14" s="6" t="inlineStr">
        <is>
          <t>2. GASTOS POR FUNCIONÁRIO</t>
        </is>
      </c>
    </row>
    <row r="15" ht="28" customHeight="1">
      <c r="A15" s="7" t="inlineStr">
        <is>
          <t>Funcionário</t>
        </is>
      </c>
      <c r="B15" s="7" t="inlineStr">
        <is>
          <t>Função</t>
        </is>
      </c>
      <c r="C15" s="7" t="inlineStr">
        <is>
          <t>Diária (R$)</t>
        </is>
      </c>
      <c r="D15" s="7" t="inlineStr">
        <is>
          <t>Diárias na Semana</t>
        </is>
      </c>
      <c r="E15" s="33" t="n"/>
      <c r="F15" s="34" t="n"/>
      <c r="G15" s="7" t="inlineStr">
        <is>
          <t>Total a Pagar (R$)</t>
        </is>
      </c>
    </row>
    <row r="16">
      <c r="A16" s="8" t="inlineStr">
        <is>
          <t>Thiago</t>
        </is>
      </c>
      <c r="B16" s="8" t="inlineStr">
        <is>
          <t>Pedreiro</t>
        </is>
      </c>
      <c r="C16" s="13">
        <f>'Parâmetros'!$C$8</f>
        <v/>
      </c>
      <c r="D16" s="35">
        <f>'Segunda 20-07'!$D$6+'Terça 21-07'!$D$6+'Quarta 22-07'!$D$6+'Quinta 23-07'!$D$6+'Sexta 24-07'!$D$6+'Sábado 25-07'!$D$6</f>
        <v/>
      </c>
      <c r="E16" s="11" t="n"/>
      <c r="F16" s="11" t="n"/>
      <c r="G16" s="30">
        <f>C16*D16</f>
        <v/>
      </c>
    </row>
    <row r="17">
      <c r="A17" s="8" t="inlineStr">
        <is>
          <t>Wiliton</t>
        </is>
      </c>
      <c r="B17" s="8" t="inlineStr">
        <is>
          <t>Eletricista</t>
        </is>
      </c>
      <c r="C17" s="13">
        <f>'Parâmetros'!$C$9</f>
        <v/>
      </c>
      <c r="D17" s="35">
        <f>'Segunda 20-07'!$D$7+'Terça 21-07'!$D$7+'Quarta 22-07'!$D$7+'Quinta 23-07'!$D$7+'Sexta 24-07'!$D$7+'Sábado 25-07'!$D$7</f>
        <v/>
      </c>
      <c r="E17" s="11" t="n"/>
      <c r="F17" s="11" t="n"/>
      <c r="G17" s="30">
        <f>C17*D17</f>
        <v/>
      </c>
    </row>
    <row r="18">
      <c r="A18" s="8" t="inlineStr">
        <is>
          <t>Gervasio</t>
        </is>
      </c>
      <c r="B18" s="8" t="inlineStr">
        <is>
          <t>Ajudante</t>
        </is>
      </c>
      <c r="C18" s="13">
        <f>'Parâmetros'!$C$10</f>
        <v/>
      </c>
      <c r="D18" s="35">
        <f>'Segunda 20-07'!$D$8+'Terça 21-07'!$D$8+'Quarta 22-07'!$D$8+'Quinta 23-07'!$D$8+'Sexta 24-07'!$D$8+'Sábado 25-07'!$D$8</f>
        <v/>
      </c>
      <c r="E18" s="11" t="n"/>
      <c r="F18" s="11" t="n"/>
      <c r="G18" s="30">
        <f>C18*D18</f>
        <v/>
      </c>
    </row>
    <row r="19">
      <c r="A19" s="8" t="inlineStr">
        <is>
          <t>Máximo</t>
        </is>
      </c>
      <c r="B19" s="8" t="inlineStr">
        <is>
          <t>Ajudante</t>
        </is>
      </c>
      <c r="C19" s="13">
        <f>'Parâmetros'!$C$11</f>
        <v/>
      </c>
      <c r="D19" s="35">
        <f>'Segunda 20-07'!$D$9+'Terça 21-07'!$D$9+'Quarta 22-07'!$D$9+'Quinta 23-07'!$D$9+'Sexta 24-07'!$D$9+'Sábado 25-07'!$D$9</f>
        <v/>
      </c>
      <c r="E19" s="11" t="n"/>
      <c r="F19" s="11" t="n"/>
      <c r="G19" s="30">
        <f>C19*D19</f>
        <v/>
      </c>
    </row>
    <row r="20">
      <c r="A20" s="8" t="inlineStr">
        <is>
          <t>Amigo Máximo</t>
        </is>
      </c>
      <c r="B20" s="8" t="inlineStr">
        <is>
          <t>Ajudante</t>
        </is>
      </c>
      <c r="C20" s="13">
        <f>'Parâmetros'!$C$12</f>
        <v/>
      </c>
      <c r="D20" s="35">
        <f>'Segunda 20-07'!$D$10+'Terça 21-07'!$D$10+'Quarta 22-07'!$D$10+'Quinta 23-07'!$D$10+'Sexta 24-07'!$D$10+'Sábado 25-07'!$D$10</f>
        <v/>
      </c>
      <c r="E20" s="11" t="n"/>
      <c r="F20" s="11" t="n"/>
      <c r="G20" s="30">
        <f>C20*D20</f>
        <v/>
      </c>
    </row>
    <row r="21">
      <c r="A21" s="16" t="inlineStr">
        <is>
          <t>TOTAL — MÃO DE OBRA DA SEMANA</t>
        </is>
      </c>
      <c r="B21" s="17" t="n"/>
      <c r="C21" s="17" t="n"/>
      <c r="D21" s="19">
        <f>SUM(D16:D20)</f>
        <v/>
      </c>
      <c r="E21" s="17" t="n"/>
      <c r="F21" s="17" t="n"/>
      <c r="G21" s="20">
        <f>SUM(G16:G20)</f>
        <v/>
      </c>
    </row>
    <row r="23">
      <c r="A23" s="6" t="inlineStr">
        <is>
          <t>3. GASTOS COM QUENTINHAS — SEPARADO POR VALOR UNITÁRIO (E OUTROS CONSUMOS)</t>
        </is>
      </c>
    </row>
    <row r="24" ht="28" customHeight="1">
      <c r="A24" s="7" t="inlineStr">
        <is>
          <t>Valor unitário / item</t>
        </is>
      </c>
      <c r="B24" s="7" t="inlineStr">
        <is>
          <t>Dias em que foi usado</t>
        </is>
      </c>
      <c r="C24" s="33" t="n"/>
      <c r="D24" s="34" t="n"/>
      <c r="E24" s="7" t="inlineStr">
        <is>
          <t>Quantidade (un.)</t>
        </is>
      </c>
      <c r="F24" s="34" t="n"/>
      <c r="G24" s="7" t="inlineStr">
        <is>
          <t>Custo (R$)</t>
        </is>
      </c>
    </row>
    <row r="25">
      <c r="A25" s="30" t="n">
        <v>22</v>
      </c>
      <c r="B25" s="8" t="inlineStr">
        <is>
          <t>20/07, 21/07, 22/07, 23/07, 24/07</t>
        </is>
      </c>
      <c r="C25" s="11" t="n"/>
      <c r="D25" s="11" t="n"/>
      <c r="E25" s="36">
        <f>'Segunda 20-07'!$D$15+'Terça 21-07'!$D$15+'Quarta 22-07'!$D$15+'Quinta 23-07'!$D$15+'Sexta 24-07'!$D$15</f>
        <v/>
      </c>
      <c r="F25" s="11" t="n"/>
      <c r="G25" s="30">
        <f>'Segunda 20-07'!$E$15+'Terça 21-07'!$E$15+'Quarta 22-07'!$E$15+'Quinta 23-07'!$E$15+'Sexta 24-07'!$E$15</f>
        <v/>
      </c>
    </row>
    <row r="26">
      <c r="A26" s="16" t="inlineStr">
        <is>
          <t>TOTAL DE QUENTINHAS DA SEMANA</t>
        </is>
      </c>
      <c r="B26" s="17" t="n"/>
      <c r="C26" s="17" t="n"/>
      <c r="D26" s="17" t="n"/>
      <c r="E26" s="37">
        <f>SUM(E25:E25)</f>
        <v/>
      </c>
      <c r="F26" s="17" t="n"/>
      <c r="G26" s="20">
        <f>SUM(G25:G25)</f>
        <v/>
      </c>
    </row>
    <row r="28">
      <c r="A28" s="6" t="inlineStr">
        <is>
          <t>4. GASTO GERAL DA SEMANA</t>
        </is>
      </c>
    </row>
    <row r="29">
      <c r="A29" s="8" t="inlineStr">
        <is>
          <t>Total de mão de obra</t>
        </is>
      </c>
      <c r="B29" s="11" t="n"/>
      <c r="C29" s="11" t="n"/>
      <c r="D29" s="11" t="n"/>
      <c r="E29" s="11" t="n"/>
      <c r="F29" s="11" t="n"/>
      <c r="G29" s="15">
        <f>G21</f>
        <v/>
      </c>
    </row>
    <row r="30">
      <c r="A30" s="8" t="inlineStr">
        <is>
          <t>Total de alimentação e outros</t>
        </is>
      </c>
      <c r="B30" s="11" t="n"/>
      <c r="C30" s="11" t="n"/>
      <c r="D30" s="11" t="n"/>
      <c r="E30" s="11" t="n"/>
      <c r="F30" s="11" t="n"/>
      <c r="G30" s="15">
        <f>G26</f>
        <v/>
      </c>
    </row>
    <row r="31">
      <c r="A31" s="38" t="inlineStr">
        <is>
          <t>GASTO GERAL DA SEMANA</t>
        </is>
      </c>
      <c r="B31" s="25" t="n"/>
      <c r="C31" s="25" t="n"/>
      <c r="D31" s="25" t="n"/>
      <c r="E31" s="25" t="n"/>
      <c r="F31" s="25" t="n"/>
      <c r="G31" s="39">
        <f>G29+G30</f>
        <v/>
      </c>
    </row>
    <row r="33">
      <c r="A33" s="6" t="inlineStr">
        <is>
          <t>5. ACUMULADO DA OBRA</t>
        </is>
      </c>
    </row>
    <row r="34" ht="28" customHeight="1">
      <c r="A34" s="7" t="inlineStr">
        <is>
          <t>Período</t>
        </is>
      </c>
      <c r="B34" s="34" t="n"/>
      <c r="C34" s="7" t="inlineStr">
        <is>
          <t>Diárias</t>
        </is>
      </c>
      <c r="D34" s="7" t="inlineStr">
        <is>
          <t>Mão de Obra (R$)</t>
        </is>
      </c>
      <c r="E34" s="7" t="inlineStr">
        <is>
          <t>Quentinhas (un.)</t>
        </is>
      </c>
      <c r="F34" s="7" t="inlineStr">
        <is>
          <t>Alim. e outros (R$)</t>
        </is>
      </c>
      <c r="G34" s="7" t="inlineStr">
        <is>
          <t>Total (R$)</t>
        </is>
      </c>
    </row>
    <row r="35">
      <c r="A35" s="8" t="inlineStr">
        <is>
          <t>Semana 1 — 20/07 a 25/07</t>
        </is>
      </c>
      <c r="B35" s="11" t="n"/>
      <c r="C35" s="22">
        <f>C12</f>
        <v/>
      </c>
      <c r="D35" s="15">
        <f>D12</f>
        <v/>
      </c>
      <c r="E35" s="23">
        <f>E12</f>
        <v/>
      </c>
      <c r="F35" s="15">
        <f>F12</f>
        <v/>
      </c>
      <c r="G35" s="15">
        <f>G12</f>
        <v/>
      </c>
    </row>
    <row r="36">
      <c r="A36" s="40" t="inlineStr">
        <is>
          <t>TOTAL ACUMULADO DA OBRA</t>
        </is>
      </c>
      <c r="B36" s="41" t="n"/>
      <c r="C36" s="42">
        <f>SUM(C35:C35)</f>
        <v/>
      </c>
      <c r="D36" s="43">
        <f>SUM(D35:D35)</f>
        <v/>
      </c>
      <c r="E36" s="44">
        <f>SUM(E35:E35)</f>
        <v/>
      </c>
      <c r="F36" s="43">
        <f>SUM(F35:F35)</f>
        <v/>
      </c>
      <c r="G36" s="43">
        <f>SUM(G35:G35)</f>
        <v/>
      </c>
    </row>
    <row r="38">
      <c r="A38" s="45" t="inlineStr">
        <is>
          <t>Notas da semana: 23/07 — Entrada de Wiliton (eletricista, R$ 200,00); 25/07 — Sábado até meio-dia: diária integral e sem quentinha. Entrada de Máximo e Amigo Máximo (ajudantes, R$ 100,00). Constam apenas os funcionários com presença na semana. Os totais de mão de obra dos blocos 1 e 2 devem ser idênticos.</t>
        </is>
      </c>
    </row>
    <row r="39"/>
    <row r="40"/>
  </sheetData>
  <mergeCells count="29">
    <mergeCell ref="A14:G14"/>
    <mergeCell ref="E24:F24"/>
    <mergeCell ref="A4:G4"/>
    <mergeCell ref="A36:B36"/>
    <mergeCell ref="D17:F17"/>
    <mergeCell ref="A21:C21"/>
    <mergeCell ref="A38:G40"/>
    <mergeCell ref="D16:F16"/>
    <mergeCell ref="A28:G28"/>
    <mergeCell ref="D18:F18"/>
    <mergeCell ref="D15:F15"/>
    <mergeCell ref="B24:D24"/>
    <mergeCell ref="A29:F29"/>
    <mergeCell ref="A12:B12"/>
    <mergeCell ref="A1:G1"/>
    <mergeCell ref="A31:F31"/>
    <mergeCell ref="E26:F26"/>
    <mergeCell ref="B25:D25"/>
    <mergeCell ref="D20:F20"/>
    <mergeCell ref="A30:F30"/>
    <mergeCell ref="A35:B35"/>
    <mergeCell ref="D19:F19"/>
    <mergeCell ref="E25:F25"/>
    <mergeCell ref="A26:D26"/>
    <mergeCell ref="A2:G2"/>
    <mergeCell ref="D21:F21"/>
    <mergeCell ref="A33:G33"/>
    <mergeCell ref="A34:B34"/>
    <mergeCell ref="A23:G23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2026-09-12T15:10:16Z</dcterms:created>
  <dcterms:modified xmlns:dcterms="http://purl.org/dc/terms/" xmlns:xsi="http://www.w3.org/2001/XMLSchema-instance" xsi:type="dcterms:W3CDTF">2026-09-12T15:10:16Z</dcterms:modified>
</cp:coreProperties>
</file>